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pereda/Projects/callcenterexample/"/>
    </mc:Choice>
  </mc:AlternateContent>
  <xr:revisionPtr revIDLastSave="0" documentId="13_ncr:9_{50543261-2DFF-1D49-A003-DF34EBFD7C55}" xr6:coauthVersionLast="47" xr6:coauthVersionMax="47" xr10:uidLastSave="{00000000-0000-0000-0000-000000000000}"/>
  <bookViews>
    <workbookView xWindow="0" yWindow="620" windowWidth="60160" windowHeight="32080" xr2:uid="{75762525-DAF0-9043-BCCD-1D5E35755B11}"/>
  </bookViews>
  <sheets>
    <sheet name="erlang_c_staffing_forecast" sheetId="1" r:id="rId1"/>
  </sheets>
  <calcPr calcId="0"/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" i="1"/>
  <c r="P3" i="1" a="1"/>
  <c r="P8" i="1" a="1"/>
  <c r="P13" i="1" a="1"/>
  <c r="P18" i="1" a="1"/>
  <c r="P23" i="1" a="1"/>
  <c r="P28" i="1" a="1"/>
  <c r="P33" i="1" a="1"/>
  <c r="P38" i="1" a="1"/>
  <c r="P43" i="1" a="1"/>
  <c r="P48" i="1" a="1"/>
  <c r="P53" i="1" a="1"/>
  <c r="P58" i="1" a="1"/>
  <c r="P63" i="1" a="1"/>
  <c r="P68" i="1" a="1"/>
  <c r="P73" i="1" a="1"/>
  <c r="P78" i="1" a="1"/>
  <c r="P83" i="1" a="1"/>
  <c r="P88" i="1" a="1"/>
  <c r="P93" i="1" a="1"/>
  <c r="P98" i="1" a="1"/>
  <c r="P103" i="1" a="1"/>
  <c r="P4" i="1" a="1"/>
  <c r="P5" i="1" a="1"/>
  <c r="P6" i="1" a="1"/>
  <c r="P21" i="1" a="1"/>
  <c r="P29" i="1" a="1"/>
  <c r="P42" i="1" a="1"/>
  <c r="P50" i="1" a="1"/>
  <c r="P71" i="1" a="1"/>
  <c r="P79" i="1" a="1"/>
  <c r="P92" i="1" a="1"/>
  <c r="P100" i="1" a="1"/>
  <c r="P113" i="1" a="1"/>
  <c r="P138" i="1" a="1"/>
  <c r="P163" i="1" a="1"/>
  <c r="P188" i="1" a="1"/>
  <c r="P213" i="1" a="1"/>
  <c r="P15" i="1" a="1"/>
  <c r="P36" i="1" a="1"/>
  <c r="P44" i="1" a="1"/>
  <c r="P57" i="1" a="1"/>
  <c r="P65" i="1" a="1"/>
  <c r="P86" i="1" a="1"/>
  <c r="P94" i="1" a="1"/>
  <c r="P107" i="1" a="1"/>
  <c r="P114" i="1" a="1"/>
  <c r="P120" i="1" a="1"/>
  <c r="P126" i="1" a="1"/>
  <c r="P132" i="1" a="1"/>
  <c r="P139" i="1" a="1"/>
  <c r="P145" i="1" a="1"/>
  <c r="P151" i="1" a="1"/>
  <c r="P157" i="1" a="1"/>
  <c r="P164" i="1" a="1"/>
  <c r="P170" i="1" a="1"/>
  <c r="P176" i="1" a="1"/>
  <c r="P182" i="1" a="1"/>
  <c r="P189" i="1" a="1"/>
  <c r="P195" i="1" a="1"/>
  <c r="P201" i="1" a="1"/>
  <c r="P207" i="1" a="1"/>
  <c r="P214" i="1" a="1"/>
  <c r="P19" i="1" a="1"/>
  <c r="P7" i="1" a="1"/>
  <c r="P22" i="1" a="1"/>
  <c r="P30" i="1" a="1"/>
  <c r="P51" i="1" a="1"/>
  <c r="P59" i="1" a="1"/>
  <c r="P72" i="1" a="1"/>
  <c r="P80" i="1" a="1"/>
  <c r="P101" i="1" a="1"/>
  <c r="P108" i="1" a="1"/>
  <c r="P133" i="1" a="1"/>
  <c r="P158" i="1" a="1"/>
  <c r="P183" i="1" a="1"/>
  <c r="P208" i="1" a="1"/>
  <c r="P90" i="1" a="1"/>
  <c r="P148" i="1" a="1"/>
  <c r="P9" i="1" a="1"/>
  <c r="P16" i="1" a="1"/>
  <c r="P24" i="1" a="1"/>
  <c r="P37" i="1" a="1"/>
  <c r="P45" i="1" a="1"/>
  <c r="P66" i="1" a="1"/>
  <c r="P74" i="1" a="1"/>
  <c r="P87" i="1" a="1"/>
  <c r="P95" i="1" a="1"/>
  <c r="P109" i="1" a="1"/>
  <c r="P115" i="1" a="1"/>
  <c r="P121" i="1" a="1"/>
  <c r="P127" i="1" a="1"/>
  <c r="P134" i="1" a="1"/>
  <c r="P140" i="1" a="1"/>
  <c r="P146" i="1" a="1"/>
  <c r="P152" i="1" a="1"/>
  <c r="P159" i="1" a="1"/>
  <c r="P165" i="1" a="1"/>
  <c r="P171" i="1" a="1"/>
  <c r="P177" i="1" a="1"/>
  <c r="P184" i="1" a="1"/>
  <c r="P190" i="1" a="1"/>
  <c r="P196" i="1" a="1"/>
  <c r="P202" i="1" a="1"/>
  <c r="P209" i="1" a="1"/>
  <c r="P215" i="1" a="1"/>
  <c r="P31" i="1" a="1"/>
  <c r="P39" i="1" a="1"/>
  <c r="P52" i="1" a="1"/>
  <c r="P60" i="1" a="1"/>
  <c r="P81" i="1" a="1"/>
  <c r="P89" i="1" a="1"/>
  <c r="P102" i="1" a="1"/>
  <c r="P128" i="1" a="1"/>
  <c r="P153" i="1" a="1"/>
  <c r="P178" i="1" a="1"/>
  <c r="P203" i="1" a="1"/>
  <c r="P11" i="1" a="1"/>
  <c r="P61" i="1" a="1"/>
  <c r="P69" i="1" a="1"/>
  <c r="P82" i="1" a="1"/>
  <c r="P123" i="1" a="1"/>
  <c r="P10" i="1" a="1"/>
  <c r="P17" i="1" a="1"/>
  <c r="P25" i="1" a="1"/>
  <c r="P46" i="1" a="1"/>
  <c r="P54" i="1" a="1"/>
  <c r="P67" i="1" a="1"/>
  <c r="P75" i="1" a="1"/>
  <c r="P96" i="1" a="1"/>
  <c r="P104" i="1" a="1"/>
  <c r="P110" i="1" a="1"/>
  <c r="P116" i="1" a="1"/>
  <c r="P122" i="1" a="1"/>
  <c r="P129" i="1" a="1"/>
  <c r="P135" i="1" a="1"/>
  <c r="P141" i="1" a="1"/>
  <c r="P147" i="1" a="1"/>
  <c r="P154" i="1" a="1"/>
  <c r="P160" i="1" a="1"/>
  <c r="P166" i="1" a="1"/>
  <c r="P172" i="1" a="1"/>
  <c r="P179" i="1" a="1"/>
  <c r="P185" i="1" a="1"/>
  <c r="P191" i="1" a="1"/>
  <c r="P197" i="1" a="1"/>
  <c r="P204" i="1" a="1"/>
  <c r="P210" i="1" a="1"/>
  <c r="P216" i="1" a="1"/>
  <c r="P40" i="1" a="1"/>
  <c r="P32" i="1" a="1"/>
  <c r="P14" i="1" a="1"/>
  <c r="P27" i="1" a="1"/>
  <c r="P35" i="1" a="1"/>
  <c r="P56" i="1" a="1"/>
  <c r="P64" i="1" a="1"/>
  <c r="P77" i="1" a="1"/>
  <c r="P85" i="1" a="1"/>
  <c r="P106" i="1" a="1"/>
  <c r="P112" i="1" a="1"/>
  <c r="P119" i="1" a="1"/>
  <c r="P125" i="1" a="1"/>
  <c r="P131" i="1" a="1"/>
  <c r="P137" i="1" a="1"/>
  <c r="P144" i="1" a="1"/>
  <c r="P150" i="1" a="1"/>
  <c r="P47" i="1" a="1"/>
  <c r="P84" i="1" a="1"/>
  <c r="P117" i="1" a="1"/>
  <c r="P149" i="1" a="1"/>
  <c r="P168" i="1" a="1"/>
  <c r="P12" i="1" a="1"/>
  <c r="P49" i="1" a="1"/>
  <c r="P118" i="1" a="1"/>
  <c r="P169" i="1" a="1"/>
  <c r="P186" i="1" a="1"/>
  <c r="P200" i="1" a="1"/>
  <c r="P217" i="1" a="1"/>
  <c r="P105" i="1" a="1"/>
  <c r="P193" i="1" a="1"/>
  <c r="P180" i="1" a="1"/>
  <c r="P55" i="1" a="1"/>
  <c r="P124" i="1" a="1"/>
  <c r="P155" i="1" a="1"/>
  <c r="P173" i="1" a="1"/>
  <c r="P62" i="1" a="1"/>
  <c r="P175" i="1" a="1"/>
  <c r="P206" i="1" a="1"/>
  <c r="P20" i="1" a="1"/>
  <c r="P91" i="1" a="1"/>
  <c r="P174" i="1" a="1"/>
  <c r="P187" i="1" a="1"/>
  <c r="P205" i="1" a="1"/>
  <c r="P161" i="1" a="1"/>
  <c r="P70" i="1" a="1"/>
  <c r="P26" i="1" a="1"/>
  <c r="P97" i="1" a="1"/>
  <c r="P130" i="1" a="1"/>
  <c r="P156" i="1" a="1"/>
  <c r="P99" i="1" a="1"/>
  <c r="P192" i="1" a="1"/>
  <c r="P136" i="1" a="1"/>
  <c r="P34" i="1" a="1"/>
  <c r="P194" i="1" a="1"/>
  <c r="P76" i="1" a="1"/>
  <c r="P111" i="1" a="1"/>
  <c r="P142" i="1" a="1"/>
  <c r="P162" i="1" a="1"/>
  <c r="P198" i="1" a="1"/>
  <c r="P41" i="1" a="1"/>
  <c r="P143" i="1" a="1"/>
  <c r="P167" i="1" a="1"/>
  <c r="P181" i="1" a="1"/>
  <c r="P199" i="1" a="1"/>
  <c r="P212" i="1" a="1"/>
  <c r="P211" i="1" a="1"/>
  <c r="L2" i="1" l="1"/>
  <c r="K2" i="1"/>
  <c r="P211" i="1"/>
  <c r="P212" i="1"/>
  <c r="P199" i="1"/>
  <c r="P181" i="1"/>
  <c r="P167" i="1"/>
  <c r="P143" i="1"/>
  <c r="P41" i="1"/>
  <c r="P198" i="1"/>
  <c r="P162" i="1"/>
  <c r="P142" i="1"/>
  <c r="P111" i="1"/>
  <c r="P76" i="1"/>
  <c r="P194" i="1"/>
  <c r="P34" i="1"/>
  <c r="P136" i="1"/>
  <c r="P192" i="1"/>
  <c r="P99" i="1"/>
  <c r="P156" i="1"/>
  <c r="P130" i="1"/>
  <c r="P97" i="1"/>
  <c r="P26" i="1"/>
  <c r="P70" i="1"/>
  <c r="P161" i="1"/>
  <c r="P205" i="1"/>
  <c r="P187" i="1"/>
  <c r="P174" i="1"/>
  <c r="P91" i="1"/>
  <c r="P20" i="1"/>
  <c r="P206" i="1"/>
  <c r="P175" i="1"/>
  <c r="P62" i="1"/>
  <c r="P173" i="1"/>
  <c r="P155" i="1"/>
  <c r="P124" i="1"/>
  <c r="P55" i="1"/>
  <c r="P180" i="1"/>
  <c r="P193" i="1"/>
  <c r="P105" i="1"/>
  <c r="P217" i="1"/>
  <c r="P200" i="1"/>
  <c r="P186" i="1"/>
  <c r="P169" i="1"/>
  <c r="P118" i="1"/>
  <c r="P49" i="1"/>
  <c r="P12" i="1"/>
  <c r="P168" i="1"/>
  <c r="P149" i="1"/>
  <c r="P117" i="1"/>
  <c r="P84" i="1"/>
  <c r="P47" i="1"/>
  <c r="P150" i="1"/>
  <c r="P144" i="1"/>
  <c r="P137" i="1"/>
  <c r="P131" i="1"/>
  <c r="P125" i="1"/>
  <c r="P119" i="1"/>
  <c r="P112" i="1"/>
  <c r="P106" i="1"/>
  <c r="P85" i="1"/>
  <c r="P77" i="1"/>
  <c r="P64" i="1"/>
  <c r="P56" i="1"/>
  <c r="P35" i="1"/>
  <c r="P27" i="1"/>
  <c r="P14" i="1"/>
  <c r="P32" i="1"/>
  <c r="P40" i="1"/>
  <c r="P216" i="1"/>
  <c r="P210" i="1"/>
  <c r="P204" i="1"/>
  <c r="P197" i="1"/>
  <c r="P191" i="1"/>
  <c r="P185" i="1"/>
  <c r="P179" i="1"/>
  <c r="P172" i="1"/>
  <c r="P166" i="1"/>
  <c r="P160" i="1"/>
  <c r="P154" i="1"/>
  <c r="P147" i="1"/>
  <c r="P141" i="1"/>
  <c r="P135" i="1"/>
  <c r="P129" i="1"/>
  <c r="P122" i="1"/>
  <c r="P116" i="1"/>
  <c r="P110" i="1"/>
  <c r="P104" i="1"/>
  <c r="P96" i="1"/>
  <c r="P75" i="1"/>
  <c r="P67" i="1"/>
  <c r="P54" i="1"/>
  <c r="P46" i="1"/>
  <c r="P25" i="1"/>
  <c r="P17" i="1"/>
  <c r="P10" i="1"/>
  <c r="P123" i="1"/>
  <c r="P82" i="1"/>
  <c r="P69" i="1"/>
  <c r="P61" i="1"/>
  <c r="P11" i="1"/>
  <c r="P203" i="1"/>
  <c r="P178" i="1"/>
  <c r="P153" i="1"/>
  <c r="P128" i="1"/>
  <c r="P102" i="1"/>
  <c r="P89" i="1"/>
  <c r="P81" i="1"/>
  <c r="P60" i="1"/>
  <c r="P52" i="1"/>
  <c r="P39" i="1"/>
  <c r="P31" i="1"/>
  <c r="P215" i="1"/>
  <c r="P209" i="1"/>
  <c r="P202" i="1"/>
  <c r="P196" i="1"/>
  <c r="P190" i="1"/>
  <c r="P184" i="1"/>
  <c r="P177" i="1"/>
  <c r="P171" i="1"/>
  <c r="P165" i="1"/>
  <c r="P159" i="1"/>
  <c r="P152" i="1"/>
  <c r="P146" i="1"/>
  <c r="P140" i="1"/>
  <c r="P134" i="1"/>
  <c r="P127" i="1"/>
  <c r="P121" i="1"/>
  <c r="P115" i="1"/>
  <c r="P109" i="1"/>
  <c r="P95" i="1"/>
  <c r="P87" i="1"/>
  <c r="P74" i="1"/>
  <c r="P66" i="1"/>
  <c r="P45" i="1"/>
  <c r="P37" i="1"/>
  <c r="P24" i="1"/>
  <c r="P16" i="1"/>
  <c r="P9" i="1"/>
  <c r="P148" i="1"/>
  <c r="P90" i="1"/>
  <c r="P208" i="1"/>
  <c r="P183" i="1"/>
  <c r="P158" i="1"/>
  <c r="P133" i="1"/>
  <c r="P108" i="1"/>
  <c r="P101" i="1"/>
  <c r="P80" i="1"/>
  <c r="P72" i="1"/>
  <c r="P59" i="1"/>
  <c r="P51" i="1"/>
  <c r="P30" i="1"/>
  <c r="P22" i="1"/>
  <c r="P7" i="1"/>
  <c r="P19" i="1"/>
  <c r="P214" i="1"/>
  <c r="P207" i="1"/>
  <c r="P201" i="1"/>
  <c r="P195" i="1"/>
  <c r="P189" i="1"/>
  <c r="P182" i="1"/>
  <c r="P176" i="1"/>
  <c r="P170" i="1"/>
  <c r="P164" i="1"/>
  <c r="P157" i="1"/>
  <c r="P151" i="1"/>
  <c r="P145" i="1"/>
  <c r="P139" i="1"/>
  <c r="P132" i="1"/>
  <c r="P126" i="1"/>
  <c r="P120" i="1"/>
  <c r="P114" i="1"/>
  <c r="P107" i="1"/>
  <c r="P94" i="1"/>
  <c r="P86" i="1"/>
  <c r="P65" i="1"/>
  <c r="P57" i="1"/>
  <c r="P44" i="1"/>
  <c r="P36" i="1"/>
  <c r="P15" i="1"/>
  <c r="P213" i="1"/>
  <c r="P188" i="1"/>
  <c r="P163" i="1"/>
  <c r="P138" i="1"/>
  <c r="P113" i="1"/>
  <c r="P100" i="1"/>
  <c r="P92" i="1"/>
  <c r="P79" i="1"/>
  <c r="P71" i="1"/>
  <c r="P50" i="1"/>
  <c r="P42" i="1"/>
  <c r="P29" i="1"/>
  <c r="P21" i="1"/>
  <c r="P6" i="1"/>
  <c r="P5" i="1"/>
  <c r="P4" i="1"/>
  <c r="P103" i="1"/>
  <c r="P98" i="1"/>
  <c r="P93" i="1"/>
  <c r="P88" i="1"/>
  <c r="P83" i="1"/>
  <c r="P78" i="1"/>
  <c r="P73" i="1"/>
  <c r="P68" i="1"/>
  <c r="P63" i="1"/>
  <c r="P58" i="1"/>
  <c r="P53" i="1"/>
  <c r="P48" i="1"/>
  <c r="P43" i="1"/>
  <c r="P38" i="1"/>
  <c r="P33" i="1"/>
  <c r="P28" i="1"/>
  <c r="P23" i="1"/>
  <c r="P18" i="1"/>
  <c r="P13" i="1"/>
  <c r="P8" i="1"/>
  <c r="P3" i="1"/>
  <c r="P2" i="1" a="1"/>
  <c r="P2" i="1" l="1"/>
  <c r="M2" i="1" s="1"/>
  <c r="N188" i="1"/>
  <c r="M188" i="1"/>
  <c r="N30" i="1"/>
  <c r="M30" i="1"/>
  <c r="N87" i="1"/>
  <c r="M87" i="1"/>
  <c r="N31" i="1"/>
  <c r="M31" i="1"/>
  <c r="N203" i="1"/>
  <c r="M203" i="1"/>
  <c r="N204" i="1"/>
  <c r="M204" i="1"/>
  <c r="M47" i="1"/>
  <c r="N47" i="1"/>
  <c r="N200" i="1"/>
  <c r="M200" i="1"/>
  <c r="N97" i="1"/>
  <c r="M97" i="1"/>
  <c r="N142" i="1"/>
  <c r="M142" i="1"/>
  <c r="N33" i="1"/>
  <c r="M33" i="1"/>
  <c r="M83" i="1"/>
  <c r="N83" i="1"/>
  <c r="N42" i="1"/>
  <c r="M42" i="1"/>
  <c r="M182" i="1"/>
  <c r="N182" i="1"/>
  <c r="N90" i="1"/>
  <c r="M90" i="1"/>
  <c r="N165" i="1"/>
  <c r="M165" i="1"/>
  <c r="N11" i="1"/>
  <c r="M11" i="1"/>
  <c r="N147" i="1"/>
  <c r="M147" i="1"/>
  <c r="N210" i="1"/>
  <c r="M210" i="1"/>
  <c r="N85" i="1"/>
  <c r="M85" i="1"/>
  <c r="M217" i="1"/>
  <c r="N217" i="1"/>
  <c r="M206" i="1"/>
  <c r="N206" i="1"/>
  <c r="N130" i="1"/>
  <c r="M130" i="1"/>
  <c r="N162" i="1"/>
  <c r="M162" i="1"/>
  <c r="M93" i="1"/>
  <c r="N93" i="1"/>
  <c r="M195" i="1"/>
  <c r="N195" i="1"/>
  <c r="N177" i="1"/>
  <c r="M177" i="1"/>
  <c r="N96" i="1"/>
  <c r="M96" i="1"/>
  <c r="M149" i="1"/>
  <c r="N149" i="1"/>
  <c r="N41" i="1"/>
  <c r="M41" i="1"/>
  <c r="M48" i="1"/>
  <c r="N48" i="1"/>
  <c r="M79" i="1"/>
  <c r="N79" i="1"/>
  <c r="M139" i="1"/>
  <c r="N139" i="1"/>
  <c r="M16" i="1"/>
  <c r="N16" i="1"/>
  <c r="M82" i="1"/>
  <c r="N82" i="1"/>
  <c r="M192" i="1"/>
  <c r="N192" i="1"/>
  <c r="M3" i="1"/>
  <c r="N3" i="1"/>
  <c r="M103" i="1"/>
  <c r="N103" i="1"/>
  <c r="N57" i="1"/>
  <c r="M57" i="1"/>
  <c r="N101" i="1"/>
  <c r="M101" i="1"/>
  <c r="N123" i="1"/>
  <c r="M123" i="1"/>
  <c r="N187" i="1"/>
  <c r="M187" i="1"/>
  <c r="N214" i="1"/>
  <c r="M214" i="1"/>
  <c r="N34" i="1"/>
  <c r="M34" i="1"/>
  <c r="N209" i="1"/>
  <c r="M209" i="1"/>
  <c r="M25" i="1"/>
  <c r="N25" i="1"/>
  <c r="M129" i="1"/>
  <c r="N129" i="1"/>
  <c r="M191" i="1"/>
  <c r="N191" i="1"/>
  <c r="N56" i="1"/>
  <c r="M56" i="1"/>
  <c r="N144" i="1"/>
  <c r="M144" i="1"/>
  <c r="M169" i="1"/>
  <c r="N169" i="1"/>
  <c r="N173" i="1"/>
  <c r="M173" i="1"/>
  <c r="M70" i="1"/>
  <c r="N70" i="1"/>
  <c r="N76" i="1"/>
  <c r="M76" i="1"/>
  <c r="N212" i="1"/>
  <c r="M212" i="1"/>
  <c r="M28" i="1"/>
  <c r="N28" i="1"/>
  <c r="N78" i="1"/>
  <c r="M78" i="1"/>
  <c r="M29" i="1"/>
  <c r="N29" i="1"/>
  <c r="N114" i="1"/>
  <c r="M114" i="1"/>
  <c r="N176" i="1"/>
  <c r="M176" i="1"/>
  <c r="N208" i="1"/>
  <c r="M208" i="1"/>
  <c r="M159" i="1"/>
  <c r="N159" i="1"/>
  <c r="N54" i="1"/>
  <c r="M54" i="1"/>
  <c r="N141" i="1"/>
  <c r="M141" i="1"/>
  <c r="N77" i="1"/>
  <c r="M77" i="1"/>
  <c r="N175" i="1"/>
  <c r="M175" i="1"/>
  <c r="M213" i="1"/>
  <c r="N213" i="1"/>
  <c r="N120" i="1"/>
  <c r="M120" i="1"/>
  <c r="N51" i="1"/>
  <c r="M51" i="1"/>
  <c r="M95" i="1"/>
  <c r="N95" i="1"/>
  <c r="M39" i="1"/>
  <c r="N39" i="1"/>
  <c r="N67" i="1"/>
  <c r="M67" i="1"/>
  <c r="N84" i="1"/>
  <c r="M84" i="1"/>
  <c r="M38" i="1"/>
  <c r="N38" i="1"/>
  <c r="N88" i="1"/>
  <c r="M88" i="1"/>
  <c r="M50" i="1"/>
  <c r="N50" i="1"/>
  <c r="M15" i="1"/>
  <c r="N15" i="1"/>
  <c r="M126" i="1"/>
  <c r="N126" i="1"/>
  <c r="M189" i="1"/>
  <c r="N189" i="1"/>
  <c r="M59" i="1"/>
  <c r="N59" i="1"/>
  <c r="M148" i="1"/>
  <c r="N148" i="1"/>
  <c r="M109" i="1"/>
  <c r="N109" i="1"/>
  <c r="M171" i="1"/>
  <c r="N171" i="1"/>
  <c r="N52" i="1"/>
  <c r="M52" i="1"/>
  <c r="M61" i="1"/>
  <c r="N61" i="1"/>
  <c r="N75" i="1"/>
  <c r="M75" i="1"/>
  <c r="N154" i="1"/>
  <c r="M154" i="1"/>
  <c r="M216" i="1"/>
  <c r="N216" i="1"/>
  <c r="M106" i="1"/>
  <c r="N106" i="1"/>
  <c r="M117" i="1"/>
  <c r="N117" i="1"/>
  <c r="M105" i="1"/>
  <c r="N105" i="1"/>
  <c r="N20" i="1"/>
  <c r="M20" i="1"/>
  <c r="N156" i="1"/>
  <c r="M156" i="1"/>
  <c r="N198" i="1"/>
  <c r="M198" i="1"/>
  <c r="N43" i="1"/>
  <c r="M43" i="1"/>
  <c r="M71" i="1"/>
  <c r="N71" i="1"/>
  <c r="M36" i="1"/>
  <c r="N36" i="1"/>
  <c r="N132" i="1"/>
  <c r="M132" i="1"/>
  <c r="M72" i="1"/>
  <c r="N72" i="1"/>
  <c r="M9" i="1"/>
  <c r="N9" i="1"/>
  <c r="M115" i="1"/>
  <c r="N115" i="1"/>
  <c r="M60" i="1"/>
  <c r="N60" i="1"/>
  <c r="M69" i="1"/>
  <c r="N69" i="1"/>
  <c r="M160" i="1"/>
  <c r="N160" i="1"/>
  <c r="N40" i="1"/>
  <c r="M40" i="1"/>
  <c r="N112" i="1"/>
  <c r="M112" i="1"/>
  <c r="M193" i="1"/>
  <c r="N193" i="1"/>
  <c r="M91" i="1"/>
  <c r="N91" i="1"/>
  <c r="M99" i="1"/>
  <c r="N99" i="1"/>
  <c r="N98" i="1"/>
  <c r="M98" i="1"/>
  <c r="N44" i="1"/>
  <c r="M44" i="1"/>
  <c r="N201" i="1"/>
  <c r="M201" i="1"/>
  <c r="N80" i="1"/>
  <c r="M80" i="1"/>
  <c r="N121" i="1"/>
  <c r="M121" i="1"/>
  <c r="N184" i="1"/>
  <c r="M184" i="1"/>
  <c r="M81" i="1"/>
  <c r="N81" i="1"/>
  <c r="N104" i="1"/>
  <c r="M104" i="1"/>
  <c r="N166" i="1"/>
  <c r="M166" i="1"/>
  <c r="N32" i="1"/>
  <c r="M32" i="1"/>
  <c r="M119" i="1"/>
  <c r="N119" i="1"/>
  <c r="N168" i="1"/>
  <c r="M168" i="1"/>
  <c r="M180" i="1"/>
  <c r="N180" i="1"/>
  <c r="N174" i="1"/>
  <c r="M174" i="1"/>
  <c r="N143" i="1"/>
  <c r="M143" i="1"/>
  <c r="N53" i="1"/>
  <c r="M53" i="1"/>
  <c r="M92" i="1"/>
  <c r="N92" i="1"/>
  <c r="N145" i="1"/>
  <c r="M145" i="1"/>
  <c r="N207" i="1"/>
  <c r="M207" i="1"/>
  <c r="N24" i="1"/>
  <c r="M24" i="1"/>
  <c r="M127" i="1"/>
  <c r="N127" i="1"/>
  <c r="N190" i="1"/>
  <c r="M190" i="1"/>
  <c r="M89" i="1"/>
  <c r="N89" i="1"/>
  <c r="N110" i="1"/>
  <c r="M110" i="1"/>
  <c r="M172" i="1"/>
  <c r="N172" i="1"/>
  <c r="N14" i="1"/>
  <c r="M14" i="1"/>
  <c r="M125" i="1"/>
  <c r="N125" i="1"/>
  <c r="N12" i="1"/>
  <c r="M12" i="1"/>
  <c r="N55" i="1"/>
  <c r="M55" i="1"/>
  <c r="N136" i="1"/>
  <c r="M136" i="1"/>
  <c r="N167" i="1"/>
  <c r="M167" i="1"/>
  <c r="N8" i="1"/>
  <c r="M8" i="1"/>
  <c r="M58" i="1"/>
  <c r="N58" i="1"/>
  <c r="N4" i="1"/>
  <c r="M4" i="1"/>
  <c r="N100" i="1"/>
  <c r="M100" i="1"/>
  <c r="N65" i="1"/>
  <c r="M65" i="1"/>
  <c r="N151" i="1"/>
  <c r="M151" i="1"/>
  <c r="N108" i="1"/>
  <c r="M108" i="1"/>
  <c r="M37" i="1"/>
  <c r="N37" i="1"/>
  <c r="N134" i="1"/>
  <c r="M134" i="1"/>
  <c r="N196" i="1"/>
  <c r="M196" i="1"/>
  <c r="M102" i="1"/>
  <c r="N102" i="1"/>
  <c r="N10" i="1"/>
  <c r="M10" i="1"/>
  <c r="M116" i="1"/>
  <c r="N116" i="1"/>
  <c r="M179" i="1"/>
  <c r="N179" i="1"/>
  <c r="M27" i="1"/>
  <c r="N27" i="1"/>
  <c r="N131" i="1"/>
  <c r="M131" i="1"/>
  <c r="M49" i="1"/>
  <c r="N49" i="1"/>
  <c r="N124" i="1"/>
  <c r="M124" i="1"/>
  <c r="M205" i="1"/>
  <c r="N205" i="1"/>
  <c r="N181" i="1"/>
  <c r="M181" i="1"/>
  <c r="M13" i="1"/>
  <c r="N13" i="1"/>
  <c r="N63" i="1"/>
  <c r="M63" i="1"/>
  <c r="M5" i="1"/>
  <c r="N5" i="1"/>
  <c r="N113" i="1"/>
  <c r="M113" i="1"/>
  <c r="N86" i="1"/>
  <c r="M86" i="1"/>
  <c r="N157" i="1"/>
  <c r="M157" i="1"/>
  <c r="M19" i="1"/>
  <c r="N19" i="1"/>
  <c r="N133" i="1"/>
  <c r="M133" i="1"/>
  <c r="N45" i="1"/>
  <c r="M45" i="1"/>
  <c r="N140" i="1"/>
  <c r="M140" i="1"/>
  <c r="N202" i="1"/>
  <c r="M202" i="1"/>
  <c r="M128" i="1"/>
  <c r="N128" i="1"/>
  <c r="M17" i="1"/>
  <c r="N17" i="1"/>
  <c r="N122" i="1"/>
  <c r="M122" i="1"/>
  <c r="N185" i="1"/>
  <c r="M185" i="1"/>
  <c r="N35" i="1"/>
  <c r="M35" i="1"/>
  <c r="M137" i="1"/>
  <c r="N137" i="1"/>
  <c r="N118" i="1"/>
  <c r="M118" i="1"/>
  <c r="N155" i="1"/>
  <c r="M155" i="1"/>
  <c r="M161" i="1"/>
  <c r="N161" i="1"/>
  <c r="N194" i="1"/>
  <c r="M194" i="1"/>
  <c r="M199" i="1"/>
  <c r="N199" i="1"/>
  <c r="N18" i="1"/>
  <c r="M18" i="1"/>
  <c r="N68" i="1"/>
  <c r="M68" i="1"/>
  <c r="N6" i="1"/>
  <c r="M6" i="1"/>
  <c r="M138" i="1"/>
  <c r="N138" i="1"/>
  <c r="N94" i="1"/>
  <c r="M94" i="1"/>
  <c r="N164" i="1"/>
  <c r="M164" i="1"/>
  <c r="N7" i="1"/>
  <c r="M7" i="1"/>
  <c r="N158" i="1"/>
  <c r="M158" i="1"/>
  <c r="N66" i="1"/>
  <c r="M66" i="1"/>
  <c r="N146" i="1"/>
  <c r="M146" i="1"/>
  <c r="N153" i="1"/>
  <c r="M153" i="1"/>
  <c r="N23" i="1"/>
  <c r="M23" i="1"/>
  <c r="N73" i="1"/>
  <c r="M73" i="1"/>
  <c r="N21" i="1"/>
  <c r="M21" i="1"/>
  <c r="N163" i="1"/>
  <c r="M163" i="1"/>
  <c r="N107" i="1"/>
  <c r="M107" i="1"/>
  <c r="N170" i="1"/>
  <c r="M170" i="1"/>
  <c r="N22" i="1"/>
  <c r="M22" i="1"/>
  <c r="M183" i="1"/>
  <c r="N183" i="1"/>
  <c r="N74" i="1"/>
  <c r="M74" i="1"/>
  <c r="N152" i="1"/>
  <c r="M152" i="1"/>
  <c r="M215" i="1"/>
  <c r="N215" i="1"/>
  <c r="N178" i="1"/>
  <c r="M178" i="1"/>
  <c r="N46" i="1"/>
  <c r="M46" i="1"/>
  <c r="N135" i="1"/>
  <c r="M135" i="1"/>
  <c r="N197" i="1"/>
  <c r="M197" i="1"/>
  <c r="N64" i="1"/>
  <c r="M64" i="1"/>
  <c r="M150" i="1"/>
  <c r="N150" i="1"/>
  <c r="N186" i="1"/>
  <c r="M186" i="1"/>
  <c r="N62" i="1"/>
  <c r="M62" i="1"/>
  <c r="M26" i="1"/>
  <c r="N26" i="1"/>
  <c r="N111" i="1"/>
  <c r="M111" i="1"/>
  <c r="N211" i="1"/>
  <c r="M211" i="1"/>
  <c r="N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 Pereda</author>
  </authors>
  <commentList>
    <comment ref="K1" authorId="0" shapeId="0" xr:uid="{EAB570C8-B0E3-0645-A9F3-5F3008D0B577}">
      <text>
        <r>
          <rPr>
            <b/>
            <sz val="10"/>
            <color rgb="FF000000"/>
            <rFont val="Tahoma"/>
            <family val="2"/>
          </rPr>
          <t>Dan Pereda: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safety factor is set at 1.5 increase for more safety.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<sst xmlns="http://schemas.openxmlformats.org/spreadsheetml/2006/main" count="452" uniqueCount="62">
  <si>
    <t>Day</t>
  </si>
  <si>
    <t>Date</t>
  </si>
  <si>
    <t>Time_Interval</t>
  </si>
  <si>
    <t>Calls_Offered</t>
  </si>
  <si>
    <t>Calls_Answered</t>
  </si>
  <si>
    <t>Calls_Abandoned</t>
  </si>
  <si>
    <t>Abandonment_Rate_%</t>
  </si>
  <si>
    <t>Average_Handle_Time_Seconds</t>
  </si>
  <si>
    <t>Average_Speed_of_Answer_Seconds</t>
  </si>
  <si>
    <t>Traffic_Intensity_Erlangs</t>
  </si>
  <si>
    <t>Required_Agents</t>
  </si>
  <si>
    <t>Occupancy_%</t>
  </si>
  <si>
    <t>Estimated_ASA_Seconds</t>
  </si>
  <si>
    <t>Service_Level_80/90_Met</t>
  </si>
  <si>
    <t>Excel_Formula_Notes</t>
  </si>
  <si>
    <t>Monday</t>
  </si>
  <si>
    <t>08:00-08:15</t>
  </si>
  <si>
    <t>Traffic: =D2*H2/900</t>
  </si>
  <si>
    <t>08:15-08:30</t>
  </si>
  <si>
    <t>Agents: =ROUNDUP(J2+SQRT(J2)*1.5,0)</t>
  </si>
  <si>
    <t>08:30-08:45</t>
  </si>
  <si>
    <t>Occupancy: =J2/K2</t>
  </si>
  <si>
    <t>08:45-09:00</t>
  </si>
  <si>
    <t>For Goal Seek use Erlang C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</si>
  <si>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</si>
  <si>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</si>
  <si>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</si>
  <si>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</si>
  <si>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</si>
  <si>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</si>
  <si>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</si>
  <si>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</si>
  <si>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</si>
  <si>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</si>
  <si>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</si>
  <si>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</si>
  <si>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</si>
  <si>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</si>
  <si>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</si>
  <si>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</si>
  <si>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</si>
  <si>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</si>
  <si>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</si>
  <si>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</si>
  <si>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</si>
  <si>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</si>
  <si>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</si>
  <si>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</si>
  <si>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</si>
  <si>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</si>
  <si>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</si>
  <si>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</si>
  <si>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</si>
  <si>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</si>
  <si>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</si>
  <si>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</si>
  <si>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Tuesday</t>
  </si>
  <si>
    <t>Wednesday</t>
  </si>
  <si>
    <t>Thursday</t>
  </si>
  <si>
    <t>Friday</t>
  </si>
  <si>
    <t>Saturday</t>
  </si>
  <si>
    <t>Probability of Waiting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</si>
</sst>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.5"/>
      <color theme="1"/>
      <name val="Courier New"/>
      <family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10" fontId="0" fillId="0" borderId="0" xfId="0" applyNumberFormat="1"/>
    <xf numFmtId="0" fontId="18" fillId="0" borderId="0" xfId="0" applyFont="1" applyAlignment="1">
      <alignment vertical="center"/>
    </xf>
    <xf numFmtId="10" fontId="18" fillId="0" borderId="0" xfId="0" applyNumberFormat="1" applyFont="1" applyAlignment="1">
      <alignment vertical="center"/>
    </xf>
    <xf numFmtId="10" fontId="18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AF651-9594-CC4B-823B-9115BC57392D}">
  <dimension ref="A1:P217"/>
  <sheetViews>
    <sheetView tabSelected="1" workbookViewId="0">
      <selection activeCell="M2" sqref="M2"/>
    </sheetView>
  </sheetViews>
  <sheetFormatPr baseColWidth="10" defaultRowHeight="16" x14ac:dyDescent="0.2"/>
  <cols>
    <col min="1" max="1" width="10.5" bestFit="1" customWidth="1"/>
    <col min="2" max="2" width="7.5" bestFit="1" customWidth="1"/>
    <col min="3" max="3" width="12" bestFit="1" customWidth="1"/>
    <col min="4" max="4" width="12.1640625" bestFit="1" customWidth="1"/>
    <col min="5" max="5" width="14" bestFit="1" customWidth="1"/>
    <col min="6" max="6" width="15.1640625" bestFit="1" customWidth="1"/>
    <col min="7" max="7" width="19.5" bestFit="1" customWidth="1"/>
    <col min="8" max="8" width="27" bestFit="1" customWidth="1"/>
    <col min="9" max="9" width="30.5" bestFit="1" customWidth="1"/>
    <col min="10" max="10" width="20.83203125" bestFit="1" customWidth="1"/>
    <col min="11" max="11" width="14.6640625" bestFit="1" customWidth="1"/>
    <col min="12" max="12" width="12.6640625" style="2" bestFit="1" customWidth="1"/>
    <col min="13" max="13" width="21" bestFit="1" customWidth="1"/>
    <col min="14" max="14" width="22" style="2" bestFit="1" customWidth="1"/>
    <col min="15" max="15" width="33.83203125" bestFit="1" customWidth="1"/>
    <col min="16" max="16" width="10.83203125" style="2"/>
  </cols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2" t="s">
        <v>11</v>
      </c>
      <c r="M1" t="s">
        <v>12</v>
      </c>
      <c r="N1" s="2" t="s">
        <v>13</v>
      </c>
      <c r="O1" t="s">
        <v>14</v>
      </c>
      <c r="P1" s="5" t="s">
        <v>61</v>
      </c>
    </row>
    <row r="2" spans="1:16" x14ac:dyDescent="0.2">
      <c r="A2" t="s">
        <v>15</v>
      </c>
      <c r="B2" s="1">
        <v>45663</v>
      </c>
      <c r="C2" t="s">
        <v>16</v>
      </c>
      <c r="D2">
        <v>25</v>
      </c>
      <c r="E2">
        <v>17</v>
      </c>
      <c r="F2">
        <f>D2-E2</f>
        <v>8</v>
      </c>
      <c r="G2" s="2">
        <f>F2/D2</f>
        <v>0.32</v>
      </c>
      <c r="H2">
        <v>258</v>
      </c>
      <c r="I2">
        <v>52</v>
      </c>
      <c r="J2" s="3">
        <f>D2*H2/900</f>
        <v>7.166666666666667</v>
      </c>
      <c r="K2" s="3">
        <f>ROUNDUP(J2+SQRT(J2)*1.5,0)</f>
        <v>12</v>
      </c>
      <c r="L2" s="4">
        <f>J2/K2</f>
        <v>0.59722222222222221</v>
      </c>
      <c r="M2" s="3">
        <f ca="1">IF(K2&lt;=J2,"Need More Agents",(P2*H2)/(K2-J2))</f>
        <v>1.2331163621652241E-2</v>
      </c>
      <c r="N2" s="4">
        <f ca="1">IF(K2&lt;=J2,0,1-(P2*EXP(-((K2-J2)*(90/H2)))))</f>
        <v>0.99995720525866127</v>
      </c>
      <c r="O2" t="s">
        <v>17</v>
      </c>
      <c r="P2" s="4" cm="1">
        <f t="array" aca="1" ref="P2" ca="1">IF(K2&lt;=J2,"Need More Agents",
  (POWER(K2,J2)/FACT(K2)*(K2/(K2-J2)))/
  (SUMPRODUCT(POWER(J2,ROW(INDIRECT("1:"&amp;K2))-1)/FACT(ROW(INDIRECT("1:"&amp;K2))-1))+
  (POWER(K2,J2)/FACT(K2)*(K2/(K2-J2)))))</f>
        <v>2.310101712066634E-4</v>
      </c>
    </row>
    <row r="3" spans="1:16" x14ac:dyDescent="0.2">
      <c r="A3" t="s">
        <v>15</v>
      </c>
      <c r="B3" s="1">
        <v>45663</v>
      </c>
      <c r="C3" t="s">
        <v>18</v>
      </c>
      <c r="D3">
        <v>14</v>
      </c>
      <c r="E3">
        <v>13</v>
      </c>
      <c r="F3">
        <f t="shared" ref="F3:F66" si="0">D3-E3</f>
        <v>1</v>
      </c>
      <c r="G3" s="2">
        <f t="shared" ref="G3:G66" si="1">F3/D3</f>
        <v>7.1428571428571425E-2</v>
      </c>
      <c r="H3">
        <v>264</v>
      </c>
      <c r="I3">
        <v>48</v>
      </c>
      <c r="J3" s="3">
        <f t="shared" ref="J3:J66" si="2">D3*H3/900</f>
        <v>4.1066666666666665</v>
      </c>
      <c r="K3" s="3">
        <f t="shared" ref="K3:K66" si="3">ROUNDUP(J3+SQRT(J3)*1.5,0)</f>
        <v>8</v>
      </c>
      <c r="L3" s="4">
        <f t="shared" ref="L3:L66" si="4">J3/K3</f>
        <v>0.51333333333333331</v>
      </c>
      <c r="M3" s="3">
        <f t="shared" ref="M3:M66" ca="1" si="5">IF(K3&lt;=J3,"Need More Agents",(P3*H3)/(K3-J3))</f>
        <v>0.30730784035639291</v>
      </c>
      <c r="N3" s="4">
        <f t="shared" ref="N3:N66" ca="1" si="6">IF(K3&lt;=J3,0,1-(P3*EXP(-((K3-J3)*(90/H3)))))</f>
        <v>0.99879811177515432</v>
      </c>
      <c r="O3" t="s">
        <v>19</v>
      </c>
      <c r="P3" s="4" cm="1">
        <f t="array" aca="1" ref="P3" ca="1">IF(K3&lt;=J3,"Need More Agents",
  (POWER(K3,J3)/FACT(K3)*(K3/(K3-J3)))/
  (SUMPRODUCT(POWER(J3,ROW(INDIRECT("1:"&amp;K3))-1)/FACT(ROW(INDIRECT("1:"&amp;K3))-1))+
  (POWER(K3,J3)/FACT(K3)*(K3/(K3-J3)))))</f>
        <v>4.5320146153569061E-3</v>
      </c>
    </row>
    <row r="4" spans="1:16" x14ac:dyDescent="0.2">
      <c r="A4" t="s">
        <v>15</v>
      </c>
      <c r="B4" s="1">
        <v>45663</v>
      </c>
      <c r="C4" t="s">
        <v>20</v>
      </c>
      <c r="D4">
        <v>11</v>
      </c>
      <c r="E4">
        <v>11</v>
      </c>
      <c r="F4">
        <f t="shared" si="0"/>
        <v>0</v>
      </c>
      <c r="G4" s="2">
        <f t="shared" si="1"/>
        <v>0</v>
      </c>
      <c r="H4">
        <v>276</v>
      </c>
      <c r="I4">
        <v>28</v>
      </c>
      <c r="J4" s="3">
        <f t="shared" si="2"/>
        <v>3.3733333333333335</v>
      </c>
      <c r="K4" s="3">
        <f t="shared" si="3"/>
        <v>7</v>
      </c>
      <c r="L4" s="4">
        <f t="shared" si="4"/>
        <v>0.48190476190476195</v>
      </c>
      <c r="M4" s="3">
        <f t="shared" ca="1" si="5"/>
        <v>0.74316946907075909</v>
      </c>
      <c r="N4" s="4">
        <f t="shared" ca="1" si="6"/>
        <v>0.99700714285604841</v>
      </c>
      <c r="O4" t="s">
        <v>21</v>
      </c>
      <c r="P4" s="4" cm="1">
        <f t="array" aca="1" ref="P4" ca="1">IF(K4&lt;=J4,"Need More Agents",
  (POWER(K4,J4)/FACT(K4)*(K4/(K4-J4)))/
  (SUMPRODUCT(POWER(J4,ROW(INDIRECT("1:"&amp;K4))-1)/FACT(ROW(INDIRECT("1:"&amp;K4))-1))+
  (POWER(K4,J4)/FACT(K4)*(K4/(K4-J4)))))</f>
        <v>9.7653186274032095E-3</v>
      </c>
    </row>
    <row r="5" spans="1:16" x14ac:dyDescent="0.2">
      <c r="A5" t="s">
        <v>15</v>
      </c>
      <c r="B5" s="1">
        <v>45663</v>
      </c>
      <c r="C5" t="s">
        <v>22</v>
      </c>
      <c r="D5">
        <v>9</v>
      </c>
      <c r="E5">
        <v>9</v>
      </c>
      <c r="F5">
        <f t="shared" si="0"/>
        <v>0</v>
      </c>
      <c r="G5" s="2">
        <f t="shared" si="1"/>
        <v>0</v>
      </c>
      <c r="H5">
        <v>270</v>
      </c>
      <c r="I5">
        <v>24</v>
      </c>
      <c r="J5" s="3">
        <f t="shared" si="2"/>
        <v>2.7</v>
      </c>
      <c r="K5" s="3">
        <f t="shared" si="3"/>
        <v>6</v>
      </c>
      <c r="L5" s="4">
        <f t="shared" si="4"/>
        <v>0.45</v>
      </c>
      <c r="M5" s="3">
        <f t="shared" ca="1" si="5"/>
        <v>1.8162814084395087</v>
      </c>
      <c r="N5" s="4">
        <f t="shared" ca="1" si="6"/>
        <v>0.99261059647999195</v>
      </c>
      <c r="O5" t="s">
        <v>23</v>
      </c>
      <c r="P5" s="4" cm="1">
        <f t="array" aca="1" ref="P5" ca="1">IF(K5&lt;=J5,"Need More Agents",
  (POWER(K5,J5)/FACT(K5)*(K5/(K5-J5)))/
  (SUMPRODUCT(POWER(J5,ROW(INDIRECT("1:"&amp;K5))-1)/FACT(ROW(INDIRECT("1:"&amp;K5))-1))+
  (POWER(K5,J5)/FACT(K5)*(K5/(K5-J5)))))</f>
        <v>2.2198994992038441E-2</v>
      </c>
    </row>
    <row r="6" spans="1:16" x14ac:dyDescent="0.2">
      <c r="A6" t="s">
        <v>15</v>
      </c>
      <c r="B6" s="1">
        <v>45663</v>
      </c>
      <c r="C6" t="s">
        <v>24</v>
      </c>
      <c r="D6">
        <v>28</v>
      </c>
      <c r="E6">
        <v>27</v>
      </c>
      <c r="F6">
        <f t="shared" si="0"/>
        <v>1</v>
      </c>
      <c r="G6" s="2">
        <f t="shared" si="1"/>
        <v>3.5714285714285712E-2</v>
      </c>
      <c r="H6">
        <v>264</v>
      </c>
      <c r="I6">
        <v>45</v>
      </c>
      <c r="J6" s="3">
        <f t="shared" si="2"/>
        <v>8.2133333333333329</v>
      </c>
      <c r="K6" s="3">
        <f t="shared" si="3"/>
        <v>13</v>
      </c>
      <c r="L6" s="4">
        <f t="shared" si="4"/>
        <v>0.63179487179487182</v>
      </c>
      <c r="M6" s="3">
        <f t="shared" ca="1" si="5"/>
        <v>9.9307770453157529E-3</v>
      </c>
      <c r="N6" s="4">
        <f t="shared" ca="1" si="6"/>
        <v>0.99996478539200895</v>
      </c>
      <c r="P6" s="4" cm="1">
        <f t="array" aca="1" ref="P6" ca="1">IF(K6&lt;=J6,"Need More Agents",
  (POWER(K6,J6)/FACT(K6)*(K6/(K6-J6)))/
  (SUMPRODUCT(POWER(J6,ROW(INDIRECT("1:"&amp;K6))-1)/FACT(ROW(INDIRECT("1:"&amp;K6))-1))+
  (POWER(K6,J6)/FACT(K6)*(K6/(K6-J6)))))</f>
        <v>1.8005802824587656E-4</v>
      </c>
    </row>
    <row r="7" spans="1:16" x14ac:dyDescent="0.2">
      <c r="A7" t="s">
        <v>15</v>
      </c>
      <c r="B7" s="1">
        <v>45663</v>
      </c>
      <c r="C7" t="s">
        <v>25</v>
      </c>
      <c r="D7">
        <v>19</v>
      </c>
      <c r="E7">
        <v>19</v>
      </c>
      <c r="F7">
        <f t="shared" si="0"/>
        <v>0</v>
      </c>
      <c r="G7" s="2">
        <f t="shared" si="1"/>
        <v>0</v>
      </c>
      <c r="H7">
        <v>270</v>
      </c>
      <c r="I7">
        <v>32</v>
      </c>
      <c r="J7" s="3">
        <f t="shared" si="2"/>
        <v>5.7</v>
      </c>
      <c r="K7" s="3">
        <f t="shared" si="3"/>
        <v>10</v>
      </c>
      <c r="L7" s="4">
        <f t="shared" si="4"/>
        <v>0.57000000000000006</v>
      </c>
      <c r="M7" s="3">
        <f t="shared" ca="1" si="5"/>
        <v>7.2075902085726964E-2</v>
      </c>
      <c r="N7" s="4">
        <f t="shared" ca="1" si="6"/>
        <v>0.99972621728831623</v>
      </c>
      <c r="P7" s="4" cm="1">
        <f t="array" aca="1" ref="P7" ca="1">IF(K7&lt;=J7,"Need More Agents",
  (POWER(K7,J7)/FACT(K7)*(K7/(K7-J7)))/
  (SUMPRODUCT(POWER(J7,ROW(INDIRECT("1:"&amp;K7))-1)/FACT(ROW(INDIRECT("1:"&amp;K7))-1))+
  (POWER(K7,J7)/FACT(K7)*(K7/(K7-J7)))))</f>
        <v>1.1478754776615776E-3</v>
      </c>
    </row>
    <row r="8" spans="1:16" x14ac:dyDescent="0.2">
      <c r="A8" t="s">
        <v>15</v>
      </c>
      <c r="B8" s="1">
        <v>45663</v>
      </c>
      <c r="C8" t="s">
        <v>26</v>
      </c>
      <c r="D8">
        <v>16</v>
      </c>
      <c r="E8">
        <v>16</v>
      </c>
      <c r="F8">
        <f t="shared" si="0"/>
        <v>0</v>
      </c>
      <c r="G8" s="2">
        <f t="shared" si="1"/>
        <v>0</v>
      </c>
      <c r="H8">
        <v>276</v>
      </c>
      <c r="I8">
        <v>30</v>
      </c>
      <c r="J8" s="3">
        <f t="shared" si="2"/>
        <v>4.9066666666666663</v>
      </c>
      <c r="K8" s="3">
        <f t="shared" si="3"/>
        <v>9</v>
      </c>
      <c r="L8" s="4">
        <f t="shared" si="4"/>
        <v>0.54518518518518511</v>
      </c>
      <c r="M8" s="3">
        <f t="shared" ca="1" si="5"/>
        <v>0.15464121123520747</v>
      </c>
      <c r="N8" s="4">
        <f t="shared" ca="1" si="6"/>
        <v>0.99939632310901272</v>
      </c>
      <c r="P8" s="4" cm="1">
        <f t="array" aca="1" ref="P8" ca="1">IF(K8&lt;=J8,"Need More Agents",
  (POWER(K8,J8)/FACT(K8)*(K8/(K8-J8)))/
  (SUMPRODUCT(POWER(J8,ROW(INDIRECT("1:"&amp;K8))-1)/FACT(ROW(INDIRECT("1:"&amp;K8))-1))+
  (POWER(K8,J8)/FACT(K8)*(K8/(K8-J8)))))</f>
        <v>2.2934711038265073E-3</v>
      </c>
    </row>
    <row r="9" spans="1:16" x14ac:dyDescent="0.2">
      <c r="A9" t="s">
        <v>15</v>
      </c>
      <c r="B9" s="1">
        <v>45663</v>
      </c>
      <c r="C9" t="s">
        <v>27</v>
      </c>
      <c r="D9">
        <v>13</v>
      </c>
      <c r="E9">
        <v>13</v>
      </c>
      <c r="F9">
        <f t="shared" si="0"/>
        <v>0</v>
      </c>
      <c r="G9" s="2">
        <f t="shared" si="1"/>
        <v>0</v>
      </c>
      <c r="H9">
        <v>264</v>
      </c>
      <c r="I9">
        <v>26</v>
      </c>
      <c r="J9" s="3">
        <f t="shared" si="2"/>
        <v>3.8133333333333335</v>
      </c>
      <c r="K9" s="3">
        <f t="shared" si="3"/>
        <v>7</v>
      </c>
      <c r="L9" s="4">
        <f t="shared" si="4"/>
        <v>0.54476190476190478</v>
      </c>
      <c r="M9" s="3">
        <f t="shared" ca="1" si="5"/>
        <v>1.4404387981796287</v>
      </c>
      <c r="N9" s="4">
        <f t="shared" ca="1" si="6"/>
        <v>0.99413286895292141</v>
      </c>
      <c r="P9" s="4" cm="1">
        <f t="array" aca="1" ref="P9" ca="1">IF(K9&lt;=J9,"Need More Agents",
  (POWER(K9,J9)/FACT(K9)*(K9/(K9-J9)))/
  (SUMPRODUCT(POWER(J9,ROW(INDIRECT("1:"&amp;K9))-1)/FACT(ROW(INDIRECT("1:"&amp;K9))-1))+
  (POWER(K9,J9)/FACT(K9)*(K9/(K9-J9)))))</f>
        <v>1.7387114786107639E-2</v>
      </c>
    </row>
    <row r="10" spans="1:16" x14ac:dyDescent="0.2">
      <c r="A10" t="s">
        <v>15</v>
      </c>
      <c r="B10" s="1">
        <v>45663</v>
      </c>
      <c r="C10" t="s">
        <v>28</v>
      </c>
      <c r="D10">
        <v>35</v>
      </c>
      <c r="E10">
        <v>33</v>
      </c>
      <c r="F10">
        <f t="shared" si="0"/>
        <v>2</v>
      </c>
      <c r="G10" s="2">
        <f t="shared" si="1"/>
        <v>5.7142857142857141E-2</v>
      </c>
      <c r="H10">
        <v>276</v>
      </c>
      <c r="I10">
        <v>58</v>
      </c>
      <c r="J10" s="3">
        <f t="shared" si="2"/>
        <v>10.733333333333333</v>
      </c>
      <c r="K10" s="3">
        <f t="shared" si="3"/>
        <v>16</v>
      </c>
      <c r="L10" s="4">
        <f t="shared" si="4"/>
        <v>0.67083333333333328</v>
      </c>
      <c r="M10" s="3">
        <f t="shared" ca="1" si="5"/>
        <v>1.5131768968464608E-3</v>
      </c>
      <c r="N10" s="4">
        <f t="shared" ca="1" si="6"/>
        <v>0.99999481602515716</v>
      </c>
      <c r="P10" s="4" cm="1">
        <f t="array" aca="1" ref="P10" ca="1">IF(K10&lt;=J10,"Need More Agents",
  (POWER(K10,J10)/FACT(K10)*(K10/(K10-J10)))/
  (SUMPRODUCT(POWER(J10,ROW(INDIRECT("1:"&amp;K10))-1)/FACT(ROW(INDIRECT("1:"&amp;K10))-1))+
  (POWER(K10,J10)/FACT(K10)*(K10/(K10-J10)))))</f>
        <v>2.8874631606490442E-5</v>
      </c>
    </row>
    <row r="11" spans="1:16" x14ac:dyDescent="0.2">
      <c r="A11" t="s">
        <v>15</v>
      </c>
      <c r="B11" s="1">
        <v>45663</v>
      </c>
      <c r="C11" t="s">
        <v>29</v>
      </c>
      <c r="D11">
        <v>24</v>
      </c>
      <c r="E11">
        <v>23</v>
      </c>
      <c r="F11">
        <f t="shared" si="0"/>
        <v>1</v>
      </c>
      <c r="G11" s="2">
        <f t="shared" si="1"/>
        <v>4.1666666666666664E-2</v>
      </c>
      <c r="H11">
        <v>270</v>
      </c>
      <c r="I11">
        <v>46</v>
      </c>
      <c r="J11" s="3">
        <f t="shared" si="2"/>
        <v>7.2</v>
      </c>
      <c r="K11" s="3">
        <f t="shared" si="3"/>
        <v>12</v>
      </c>
      <c r="L11" s="4">
        <f t="shared" si="4"/>
        <v>0.6</v>
      </c>
      <c r="M11" s="3">
        <f t="shared" ca="1" si="5"/>
        <v>1.3772750797681614E-2</v>
      </c>
      <c r="N11" s="4">
        <f t="shared" ca="1" si="6"/>
        <v>0.99995056585903541</v>
      </c>
      <c r="P11" s="4" cm="1">
        <f t="array" aca="1" ref="P11" ca="1">IF(K11&lt;=J11,"Need More Agents",
  (POWER(K11,J11)/FACT(K11)*(K11/(K11-J11)))/
  (SUMPRODUCT(POWER(J11,ROW(INDIRECT("1:"&amp;K11))-1)/FACT(ROW(INDIRECT("1:"&amp;K11))-1))+
  (POWER(K11,J11)/FACT(K11)*(K11/(K11-J11)))))</f>
        <v>2.4484890306989532E-4</v>
      </c>
    </row>
    <row r="12" spans="1:16" x14ac:dyDescent="0.2">
      <c r="A12" t="s">
        <v>15</v>
      </c>
      <c r="B12" s="1">
        <v>45663</v>
      </c>
      <c r="C12" t="s">
        <v>30</v>
      </c>
      <c r="D12">
        <v>20</v>
      </c>
      <c r="E12">
        <v>20</v>
      </c>
      <c r="F12">
        <f t="shared" si="0"/>
        <v>0</v>
      </c>
      <c r="G12" s="2">
        <f t="shared" si="1"/>
        <v>0</v>
      </c>
      <c r="H12">
        <v>264</v>
      </c>
      <c r="I12">
        <v>34</v>
      </c>
      <c r="J12" s="3">
        <f t="shared" si="2"/>
        <v>5.8666666666666663</v>
      </c>
      <c r="K12" s="3">
        <f t="shared" si="3"/>
        <v>10</v>
      </c>
      <c r="L12" s="4">
        <f t="shared" si="4"/>
        <v>0.58666666666666667</v>
      </c>
      <c r="M12" s="3">
        <f t="shared" ca="1" si="5"/>
        <v>9.5780337553721034E-2</v>
      </c>
      <c r="N12" s="4">
        <f t="shared" ca="1" si="6"/>
        <v>0.99963355191158687</v>
      </c>
      <c r="P12" s="4" cm="1">
        <f t="array" aca="1" ref="P12" ca="1">IF(K12&lt;=J12,"Need More Agents",
  (POWER(K12,J12)/FACT(K12)*(K12/(K12-J12)))/
  (SUMPRODUCT(POWER(J12,ROW(INDIRECT("1:"&amp;K12))-1)/FACT(ROW(INDIRECT("1:"&amp;K12))-1))+
  (POWER(K12,J12)/FACT(K12)*(K12/(K12-J12)))))</f>
        <v>1.4995911435178549E-3</v>
      </c>
    </row>
    <row r="13" spans="1:16" x14ac:dyDescent="0.2">
      <c r="A13" t="s">
        <v>15</v>
      </c>
      <c r="B13" s="1">
        <v>45663</v>
      </c>
      <c r="C13" t="s">
        <v>31</v>
      </c>
      <c r="D13">
        <v>16</v>
      </c>
      <c r="E13">
        <v>16</v>
      </c>
      <c r="F13">
        <f t="shared" si="0"/>
        <v>0</v>
      </c>
      <c r="G13" s="2">
        <f t="shared" si="1"/>
        <v>0</v>
      </c>
      <c r="H13">
        <v>270</v>
      </c>
      <c r="I13">
        <v>30</v>
      </c>
      <c r="J13" s="3">
        <f t="shared" si="2"/>
        <v>4.8</v>
      </c>
      <c r="K13" s="3">
        <f t="shared" si="3"/>
        <v>9</v>
      </c>
      <c r="L13" s="4">
        <f t="shared" si="4"/>
        <v>0.53333333333333333</v>
      </c>
      <c r="M13" s="3">
        <f t="shared" ca="1" si="5"/>
        <v>0.12565773388036613</v>
      </c>
      <c r="N13" s="4">
        <f t="shared" ca="1" si="6"/>
        <v>0.99951798286734495</v>
      </c>
      <c r="P13" s="4" cm="1">
        <f t="array" aca="1" ref="P13" ca="1">IF(K13&lt;=J13,"Need More Agents",
  (POWER(K13,J13)/FACT(K13)*(K13/(K13-J13)))/
  (SUMPRODUCT(POWER(J13,ROW(INDIRECT("1:"&amp;K13))-1)/FACT(ROW(INDIRECT("1:"&amp;K13))-1))+
  (POWER(K13,J13)/FACT(K13)*(K13/(K13-J13)))))</f>
        <v>1.9546758603612509E-3</v>
      </c>
    </row>
    <row r="14" spans="1:16" x14ac:dyDescent="0.2">
      <c r="A14" t="s">
        <v>15</v>
      </c>
      <c r="B14" s="1">
        <v>45663</v>
      </c>
      <c r="C14" t="s">
        <v>32</v>
      </c>
      <c r="D14">
        <v>32</v>
      </c>
      <c r="E14">
        <v>30</v>
      </c>
      <c r="F14">
        <f t="shared" si="0"/>
        <v>2</v>
      </c>
      <c r="G14" s="2">
        <f t="shared" si="1"/>
        <v>6.25E-2</v>
      </c>
      <c r="H14">
        <v>282</v>
      </c>
      <c r="I14">
        <v>55</v>
      </c>
      <c r="J14" s="3">
        <f t="shared" si="2"/>
        <v>10.026666666666667</v>
      </c>
      <c r="K14" s="3">
        <f t="shared" si="3"/>
        <v>15</v>
      </c>
      <c r="L14" s="4">
        <f t="shared" si="4"/>
        <v>0.66844444444444451</v>
      </c>
      <c r="M14" s="3">
        <f t="shared" ca="1" si="5"/>
        <v>3.9153856982686005E-3</v>
      </c>
      <c r="N14" s="4">
        <f t="shared" ca="1" si="6"/>
        <v>0.99998587963171459</v>
      </c>
      <c r="P14" s="4" cm="1">
        <f t="array" aca="1" ref="P14" ca="1">IF(K14&lt;=J14,"Need More Agents",
  (POWER(K14,J14)/FACT(K14)*(K14/(K14-J14)))/
  (SUMPRODUCT(POWER(J14,ROW(INDIRECT("1:"&amp;K14))-1)/FACT(ROW(INDIRECT("1:"&amp;K14))-1))+
  (POWER(K14,J14)/FACT(K14)*(K14/(K14-J14)))))</f>
        <v>6.9051483000197997E-5</v>
      </c>
    </row>
    <row r="15" spans="1:16" x14ac:dyDescent="0.2">
      <c r="A15" t="s">
        <v>15</v>
      </c>
      <c r="B15" s="1">
        <v>45663</v>
      </c>
      <c r="C15" t="s">
        <v>33</v>
      </c>
      <c r="D15">
        <v>22</v>
      </c>
      <c r="E15">
        <v>21</v>
      </c>
      <c r="F15">
        <f t="shared" si="0"/>
        <v>1</v>
      </c>
      <c r="G15" s="2">
        <f t="shared" si="1"/>
        <v>4.5454545454545456E-2</v>
      </c>
      <c r="H15">
        <v>276</v>
      </c>
      <c r="I15">
        <v>44</v>
      </c>
      <c r="J15" s="3">
        <f t="shared" si="2"/>
        <v>6.746666666666667</v>
      </c>
      <c r="K15" s="3">
        <f t="shared" si="3"/>
        <v>11</v>
      </c>
      <c r="L15" s="4">
        <f t="shared" si="4"/>
        <v>0.6133333333333334</v>
      </c>
      <c r="M15" s="3">
        <f t="shared" ca="1" si="5"/>
        <v>5.7032630369682612E-2</v>
      </c>
      <c r="N15" s="4">
        <f t="shared" ca="1" si="6"/>
        <v>0.99978041828361675</v>
      </c>
      <c r="P15" s="4" cm="1">
        <f t="array" aca="1" ref="P15" ca="1">IF(K15&lt;=J15,"Need More Agents",
  (POWER(K15,J15)/FACT(K15)*(K15/(K15-J15)))/
  (SUMPRODUCT(POWER(J15,ROW(INDIRECT("1:"&amp;K15))-1)/FACT(ROW(INDIRECT("1:"&amp;K15))-1))+
  (POWER(K15,J15)/FACT(K15)*(K15/(K15-J15)))))</f>
        <v>8.7890865159076092E-4</v>
      </c>
    </row>
    <row r="16" spans="1:16" x14ac:dyDescent="0.2">
      <c r="A16" t="s">
        <v>15</v>
      </c>
      <c r="B16" s="1">
        <v>45663</v>
      </c>
      <c r="C16" t="s">
        <v>34</v>
      </c>
      <c r="D16">
        <v>18</v>
      </c>
      <c r="E16">
        <v>18</v>
      </c>
      <c r="F16">
        <f t="shared" si="0"/>
        <v>0</v>
      </c>
      <c r="G16" s="2">
        <f t="shared" si="1"/>
        <v>0</v>
      </c>
      <c r="H16">
        <v>264</v>
      </c>
      <c r="I16">
        <v>32</v>
      </c>
      <c r="J16" s="3">
        <f t="shared" si="2"/>
        <v>5.28</v>
      </c>
      <c r="K16" s="3">
        <f t="shared" si="3"/>
        <v>9</v>
      </c>
      <c r="L16" s="4">
        <f t="shared" si="4"/>
        <v>0.58666666666666667</v>
      </c>
      <c r="M16" s="3">
        <f t="shared" ca="1" si="5"/>
        <v>0.28742470970388151</v>
      </c>
      <c r="N16" s="4">
        <f t="shared" ca="1" si="6"/>
        <v>0.99886054088007858</v>
      </c>
      <c r="P16" s="4" cm="1">
        <f t="array" aca="1" ref="P16" ca="1">IF(K16&lt;=J16,"Need More Agents",
  (POWER(K16,J16)/FACT(K16)*(K16/(K16-J16)))/
  (SUMPRODUCT(POWER(J16,ROW(INDIRECT("1:"&amp;K16))-1)/FACT(ROW(INDIRECT("1:"&amp;K16))-1))+
  (POWER(K16,J16)/FACT(K16)*(K16/(K16-J16)))))</f>
        <v>4.0500754549183298E-3</v>
      </c>
    </row>
    <row r="17" spans="1:16" x14ac:dyDescent="0.2">
      <c r="A17" t="s">
        <v>15</v>
      </c>
      <c r="B17" s="1">
        <v>45663</v>
      </c>
      <c r="C17" t="s">
        <v>35</v>
      </c>
      <c r="D17">
        <v>15</v>
      </c>
      <c r="E17">
        <v>15</v>
      </c>
      <c r="F17">
        <f t="shared" si="0"/>
        <v>0</v>
      </c>
      <c r="G17" s="2">
        <f t="shared" si="1"/>
        <v>0</v>
      </c>
      <c r="H17">
        <v>270</v>
      </c>
      <c r="I17">
        <v>28</v>
      </c>
      <c r="J17" s="3">
        <f t="shared" si="2"/>
        <v>4.5</v>
      </c>
      <c r="K17" s="3">
        <f t="shared" si="3"/>
        <v>8</v>
      </c>
      <c r="L17" s="4">
        <f t="shared" si="4"/>
        <v>0.5625</v>
      </c>
      <c r="M17" s="3">
        <f t="shared" ca="1" si="5"/>
        <v>0.61129986945873616</v>
      </c>
      <c r="N17" s="4">
        <f t="shared" ca="1" si="6"/>
        <v>0.99753236064648854</v>
      </c>
      <c r="P17" s="4" cm="1">
        <f t="array" aca="1" ref="P17" ca="1">IF(K17&lt;=J17,"Need More Agents",
  (POWER(K17,J17)/FACT(K17)*(K17/(K17-J17)))/
  (SUMPRODUCT(POWER(J17,ROW(INDIRECT("1:"&amp;K17))-1)/FACT(ROW(INDIRECT("1:"&amp;K17))-1))+
  (POWER(K17,J17)/FACT(K17)*(K17/(K17-J17)))))</f>
        <v>7.9242575670576913E-3</v>
      </c>
    </row>
    <row r="18" spans="1:16" x14ac:dyDescent="0.2">
      <c r="A18" t="s">
        <v>15</v>
      </c>
      <c r="B18" s="1">
        <v>45663</v>
      </c>
      <c r="C18" t="s">
        <v>36</v>
      </c>
      <c r="D18">
        <v>22</v>
      </c>
      <c r="E18">
        <v>21</v>
      </c>
      <c r="F18">
        <f t="shared" si="0"/>
        <v>1</v>
      </c>
      <c r="G18" s="2">
        <f t="shared" si="1"/>
        <v>4.5454545454545456E-2</v>
      </c>
      <c r="H18">
        <v>258</v>
      </c>
      <c r="I18">
        <v>42</v>
      </c>
      <c r="J18" s="3">
        <f t="shared" si="2"/>
        <v>6.3066666666666666</v>
      </c>
      <c r="K18" s="3">
        <f t="shared" si="3"/>
        <v>11</v>
      </c>
      <c r="L18" s="4">
        <f t="shared" si="4"/>
        <v>0.57333333333333336</v>
      </c>
      <c r="M18" s="3">
        <f t="shared" ca="1" si="5"/>
        <v>2.3056189722786554E-2</v>
      </c>
      <c r="N18" s="4">
        <f t="shared" ca="1" si="6"/>
        <v>0.99991841350695976</v>
      </c>
      <c r="P18" s="4" cm="1">
        <f t="array" aca="1" ref="P18" ca="1">IF(K18&lt;=J18,"Need More Agents",
  (POWER(K18,J18)/FACT(K18)*(K18/(K18-J18)))/
  (SUMPRODUCT(POWER(J18,ROW(INDIRECT("1:"&amp;K18))-1)/FACT(ROW(INDIRECT("1:"&amp;K18))-1))+
  (POWER(K18,J18)/FACT(K18)*(K18/(K18-J18)))))</f>
        <v>4.1942009211477348E-4</v>
      </c>
    </row>
    <row r="19" spans="1:16" x14ac:dyDescent="0.2">
      <c r="A19" t="s">
        <v>15</v>
      </c>
      <c r="B19" s="1">
        <v>45663</v>
      </c>
      <c r="C19" t="s">
        <v>37</v>
      </c>
      <c r="D19">
        <v>15</v>
      </c>
      <c r="E19">
        <v>15</v>
      </c>
      <c r="F19">
        <f t="shared" si="0"/>
        <v>0</v>
      </c>
      <c r="G19" s="2">
        <f t="shared" si="1"/>
        <v>0</v>
      </c>
      <c r="H19">
        <v>264</v>
      </c>
      <c r="I19">
        <v>30</v>
      </c>
      <c r="J19" s="3">
        <f t="shared" si="2"/>
        <v>4.4000000000000004</v>
      </c>
      <c r="K19" s="3">
        <f t="shared" si="3"/>
        <v>8</v>
      </c>
      <c r="L19" s="4">
        <f t="shared" si="4"/>
        <v>0.55000000000000004</v>
      </c>
      <c r="M19" s="3">
        <f t="shared" ca="1" si="5"/>
        <v>0.50329175795908876</v>
      </c>
      <c r="N19" s="4">
        <f t="shared" ca="1" si="6"/>
        <v>0.99798849730401828</v>
      </c>
      <c r="P19" s="4" cm="1">
        <f t="array" aca="1" ref="P19" ca="1">IF(K19&lt;=J19,"Need More Agents",
  (POWER(K19,J19)/FACT(K19)*(K19/(K19-J19)))/
  (SUMPRODUCT(POWER(J19,ROW(INDIRECT("1:"&amp;K19))-1)/FACT(ROW(INDIRECT("1:"&amp;K19))-1))+
  (POWER(K19,J19)/FACT(K19)*(K19/(K19-J19)))))</f>
        <v>6.863069426714846E-3</v>
      </c>
    </row>
    <row r="20" spans="1:16" x14ac:dyDescent="0.2">
      <c r="A20" t="s">
        <v>15</v>
      </c>
      <c r="B20" s="1">
        <v>45663</v>
      </c>
      <c r="C20" t="s">
        <v>38</v>
      </c>
      <c r="D20">
        <v>12</v>
      </c>
      <c r="E20">
        <v>12</v>
      </c>
      <c r="F20">
        <f t="shared" si="0"/>
        <v>0</v>
      </c>
      <c r="G20" s="2">
        <f t="shared" si="1"/>
        <v>0</v>
      </c>
      <c r="H20">
        <v>270</v>
      </c>
      <c r="I20">
        <v>25</v>
      </c>
      <c r="J20" s="3">
        <f t="shared" si="2"/>
        <v>3.6</v>
      </c>
      <c r="K20" s="3">
        <f t="shared" si="3"/>
        <v>7</v>
      </c>
      <c r="L20" s="4">
        <f t="shared" si="4"/>
        <v>0.51428571428571435</v>
      </c>
      <c r="M20" s="3">
        <f t="shared" ca="1" si="5"/>
        <v>1.0406053292785904</v>
      </c>
      <c r="N20" s="4">
        <f t="shared" ca="1" si="6"/>
        <v>0.9957810849008546</v>
      </c>
      <c r="P20" s="4" cm="1">
        <f t="array" aca="1" ref="P20" ca="1">IF(K20&lt;=J20,"Need More Agents",
  (POWER(K20,J20)/FACT(K20)*(K20/(K20-J20)))/
  (SUMPRODUCT(POWER(J20,ROW(INDIRECT("1:"&amp;K20))-1)/FACT(ROW(INDIRECT("1:"&amp;K20))-1))+
  (POWER(K20,J20)/FACT(K20)*(K20/(K20-J20)))))</f>
        <v>1.3103918961285953E-2</v>
      </c>
    </row>
    <row r="21" spans="1:16" x14ac:dyDescent="0.2">
      <c r="A21" t="s">
        <v>15</v>
      </c>
      <c r="B21" s="1">
        <v>45663</v>
      </c>
      <c r="C21" t="s">
        <v>39</v>
      </c>
      <c r="D21">
        <v>10</v>
      </c>
      <c r="E21">
        <v>10</v>
      </c>
      <c r="F21">
        <f t="shared" si="0"/>
        <v>0</v>
      </c>
      <c r="G21" s="2">
        <f t="shared" si="1"/>
        <v>0</v>
      </c>
      <c r="H21">
        <v>264</v>
      </c>
      <c r="I21">
        <v>23</v>
      </c>
      <c r="J21" s="3">
        <f t="shared" si="2"/>
        <v>2.9333333333333331</v>
      </c>
      <c r="K21" s="3">
        <f t="shared" si="3"/>
        <v>6</v>
      </c>
      <c r="L21" s="4">
        <f t="shared" si="4"/>
        <v>0.48888888888888887</v>
      </c>
      <c r="M21" s="3">
        <f t="shared" ca="1" si="5"/>
        <v>2.5109704880973625</v>
      </c>
      <c r="N21" s="4">
        <f t="shared" ca="1" si="6"/>
        <v>0.98974657134244404</v>
      </c>
      <c r="P21" s="4" cm="1">
        <f t="array" aca="1" ref="P21" ca="1">IF(K21&lt;=J21,"Need More Agents",
  (POWER(K21,J21)/FACT(K21)*(K21/(K21-J21)))/
  (SUMPRODUCT(POWER(J21,ROW(INDIRECT("1:"&amp;K21))-1)/FACT(ROW(INDIRECT("1:"&amp;K21))-1))+
  (POWER(K21,J21)/FACT(K21)*(K21/(K21-J21)))))</f>
        <v>2.9167839003151182E-2</v>
      </c>
    </row>
    <row r="22" spans="1:16" x14ac:dyDescent="0.2">
      <c r="A22" t="s">
        <v>15</v>
      </c>
      <c r="B22" s="1">
        <v>45663</v>
      </c>
      <c r="C22" t="s">
        <v>40</v>
      </c>
      <c r="D22">
        <v>26</v>
      </c>
      <c r="E22">
        <v>25</v>
      </c>
      <c r="F22">
        <f t="shared" si="0"/>
        <v>1</v>
      </c>
      <c r="G22" s="2">
        <f t="shared" si="1"/>
        <v>3.8461538461538464E-2</v>
      </c>
      <c r="H22">
        <v>276</v>
      </c>
      <c r="I22">
        <v>43</v>
      </c>
      <c r="J22" s="3">
        <f t="shared" si="2"/>
        <v>7.9733333333333336</v>
      </c>
      <c r="K22" s="3">
        <f t="shared" si="3"/>
        <v>13</v>
      </c>
      <c r="L22" s="4">
        <f t="shared" si="4"/>
        <v>0.6133333333333334</v>
      </c>
      <c r="M22" s="3">
        <f t="shared" ca="1" si="5"/>
        <v>6.3836273300413087E-3</v>
      </c>
      <c r="N22" s="4">
        <f t="shared" ca="1" si="6"/>
        <v>0.99997742783443122</v>
      </c>
      <c r="P22" s="4" cm="1">
        <f t="array" aca="1" ref="P22" ca="1">IF(K22&lt;=J22,"Need More Agents",
  (POWER(K22,J22)/FACT(K22)*(K22/(K22-J22)))/
  (SUMPRODUCT(POWER(J22,ROW(INDIRECT("1:"&amp;K22))-1)/FACT(ROW(INDIRECT("1:"&amp;K22))-1))+
  (POWER(K22,J22)/FACT(K22)*(K22/(K22-J22)))))</f>
        <v>1.1626219823311947E-4</v>
      </c>
    </row>
    <row r="23" spans="1:16" x14ac:dyDescent="0.2">
      <c r="A23" t="s">
        <v>15</v>
      </c>
      <c r="B23" s="1">
        <v>45663</v>
      </c>
      <c r="C23" t="s">
        <v>41</v>
      </c>
      <c r="D23">
        <v>18</v>
      </c>
      <c r="E23">
        <v>18</v>
      </c>
      <c r="F23">
        <f t="shared" si="0"/>
        <v>0</v>
      </c>
      <c r="G23" s="2">
        <f t="shared" si="1"/>
        <v>0</v>
      </c>
      <c r="H23">
        <v>270</v>
      </c>
      <c r="I23">
        <v>32</v>
      </c>
      <c r="J23" s="3">
        <f t="shared" si="2"/>
        <v>5.4</v>
      </c>
      <c r="K23" s="3">
        <f t="shared" si="3"/>
        <v>9</v>
      </c>
      <c r="L23" s="4">
        <f t="shared" si="4"/>
        <v>0.60000000000000009</v>
      </c>
      <c r="M23" s="3">
        <f t="shared" ca="1" si="5"/>
        <v>0.36585954645051155</v>
      </c>
      <c r="N23" s="4">
        <f t="shared" ca="1" si="6"/>
        <v>0.99853073629648381</v>
      </c>
      <c r="P23" s="4" cm="1">
        <f t="array" aca="1" ref="P23" ca="1">IF(K23&lt;=J23,"Need More Agents",
  (POWER(K23,J23)/FACT(K23)*(K23/(K23-J23)))/
  (SUMPRODUCT(POWER(J23,ROW(INDIRECT("1:"&amp;K23))-1)/FACT(ROW(INDIRECT("1:"&amp;K23))-1))+
  (POWER(K23,J23)/FACT(K23)*(K23/(K23-J23)))))</f>
        <v>4.8781272860068201E-3</v>
      </c>
    </row>
    <row r="24" spans="1:16" x14ac:dyDescent="0.2">
      <c r="A24" t="s">
        <v>15</v>
      </c>
      <c r="B24" s="1">
        <v>45663</v>
      </c>
      <c r="C24" t="s">
        <v>42</v>
      </c>
      <c r="D24">
        <v>15</v>
      </c>
      <c r="E24">
        <v>15</v>
      </c>
      <c r="F24">
        <f t="shared" si="0"/>
        <v>0</v>
      </c>
      <c r="G24" s="2">
        <f t="shared" si="1"/>
        <v>0</v>
      </c>
      <c r="H24">
        <v>264</v>
      </c>
      <c r="I24">
        <v>28</v>
      </c>
      <c r="J24" s="3">
        <f t="shared" si="2"/>
        <v>4.4000000000000004</v>
      </c>
      <c r="K24" s="3">
        <f t="shared" si="3"/>
        <v>8</v>
      </c>
      <c r="L24" s="4">
        <f t="shared" si="4"/>
        <v>0.55000000000000004</v>
      </c>
      <c r="M24" s="3">
        <f t="shared" ca="1" si="5"/>
        <v>0.50329175795908876</v>
      </c>
      <c r="N24" s="4">
        <f t="shared" ca="1" si="6"/>
        <v>0.99798849730401828</v>
      </c>
      <c r="P24" s="4" cm="1">
        <f t="array" aca="1" ref="P24" ca="1">IF(K24&lt;=J24,"Need More Agents",
  (POWER(K24,J24)/FACT(K24)*(K24/(K24-J24)))/
  (SUMPRODUCT(POWER(J24,ROW(INDIRECT("1:"&amp;K24))-1)/FACT(ROW(INDIRECT("1:"&amp;K24))-1))+
  (POWER(K24,J24)/FACT(K24)*(K24/(K24-J24)))))</f>
        <v>6.863069426714846E-3</v>
      </c>
    </row>
    <row r="25" spans="1:16" x14ac:dyDescent="0.2">
      <c r="A25" t="s">
        <v>15</v>
      </c>
      <c r="B25" s="1">
        <v>45663</v>
      </c>
      <c r="C25" t="s">
        <v>43</v>
      </c>
      <c r="D25">
        <v>12</v>
      </c>
      <c r="E25">
        <v>12</v>
      </c>
      <c r="F25">
        <f t="shared" si="0"/>
        <v>0</v>
      </c>
      <c r="G25" s="2">
        <f t="shared" si="1"/>
        <v>0</v>
      </c>
      <c r="H25">
        <v>270</v>
      </c>
      <c r="I25">
        <v>25</v>
      </c>
      <c r="J25" s="3">
        <f t="shared" si="2"/>
        <v>3.6</v>
      </c>
      <c r="K25" s="3">
        <f t="shared" si="3"/>
        <v>7</v>
      </c>
      <c r="L25" s="4">
        <f t="shared" si="4"/>
        <v>0.51428571428571435</v>
      </c>
      <c r="M25" s="3">
        <f t="shared" ca="1" si="5"/>
        <v>1.0406053292785904</v>
      </c>
      <c r="N25" s="4">
        <f t="shared" ca="1" si="6"/>
        <v>0.9957810849008546</v>
      </c>
      <c r="P25" s="4" cm="1">
        <f t="array" aca="1" ref="P25" ca="1">IF(K25&lt;=J25,"Need More Agents",
  (POWER(K25,J25)/FACT(K25)*(K25/(K25-J25)))/
  (SUMPRODUCT(POWER(J25,ROW(INDIRECT("1:"&amp;K25))-1)/FACT(ROW(INDIRECT("1:"&amp;K25))-1))+
  (POWER(K25,J25)/FACT(K25)*(K25/(K25-J25)))))</f>
        <v>1.3103918961285953E-2</v>
      </c>
    </row>
    <row r="26" spans="1:16" x14ac:dyDescent="0.2">
      <c r="A26" t="s">
        <v>15</v>
      </c>
      <c r="B26" s="1">
        <v>45663</v>
      </c>
      <c r="C26" t="s">
        <v>44</v>
      </c>
      <c r="D26">
        <v>30</v>
      </c>
      <c r="E26">
        <v>28</v>
      </c>
      <c r="F26">
        <f t="shared" si="0"/>
        <v>2</v>
      </c>
      <c r="G26" s="2">
        <f t="shared" si="1"/>
        <v>6.6666666666666666E-2</v>
      </c>
      <c r="H26">
        <v>282</v>
      </c>
      <c r="I26">
        <v>56</v>
      </c>
      <c r="J26" s="3">
        <f t="shared" si="2"/>
        <v>9.4</v>
      </c>
      <c r="K26" s="3">
        <f t="shared" si="3"/>
        <v>14</v>
      </c>
      <c r="L26" s="4">
        <f t="shared" si="4"/>
        <v>0.67142857142857149</v>
      </c>
      <c r="M26" s="3">
        <f t="shared" ca="1" si="5"/>
        <v>1.1623719676553899E-2</v>
      </c>
      <c r="N26" s="4">
        <f t="shared" ca="1" si="6"/>
        <v>0.99995632100970488</v>
      </c>
      <c r="P26" s="4" cm="1">
        <f t="array" aca="1" ref="P26" ca="1">IF(K26&lt;=J26,"Need More Agents",
  (POWER(K26,J26)/FACT(K26)*(K26/(K26-J26)))/
  (SUMPRODUCT(POWER(J26,ROW(INDIRECT("1:"&amp;K26))-1)/FACT(ROW(INDIRECT("1:"&amp;K26))-1))+
  (POWER(K26,J26)/FACT(K26)*(K26/(K26-J26)))))</f>
        <v>1.8960677486577282E-4</v>
      </c>
    </row>
    <row r="27" spans="1:16" x14ac:dyDescent="0.2">
      <c r="A27" t="s">
        <v>15</v>
      </c>
      <c r="B27" s="1">
        <v>45663</v>
      </c>
      <c r="C27" t="s">
        <v>45</v>
      </c>
      <c r="D27">
        <v>21</v>
      </c>
      <c r="E27">
        <v>20</v>
      </c>
      <c r="F27">
        <f t="shared" si="0"/>
        <v>1</v>
      </c>
      <c r="G27" s="2">
        <f t="shared" si="1"/>
        <v>4.7619047619047616E-2</v>
      </c>
      <c r="H27">
        <v>276</v>
      </c>
      <c r="I27">
        <v>44</v>
      </c>
      <c r="J27" s="3">
        <f t="shared" si="2"/>
        <v>6.44</v>
      </c>
      <c r="K27" s="3">
        <f t="shared" si="3"/>
        <v>11</v>
      </c>
      <c r="L27" s="4">
        <f t="shared" si="4"/>
        <v>0.58545454545454545</v>
      </c>
      <c r="M27" s="3">
        <f t="shared" ca="1" si="5"/>
        <v>3.1711354796247822E-2</v>
      </c>
      <c r="N27" s="4">
        <f t="shared" ca="1" si="6"/>
        <v>0.99988156132367445</v>
      </c>
      <c r="P27" s="4" cm="1">
        <f t="array" aca="1" ref="P27" ca="1">IF(K27&lt;=J27,"Need More Agents",
  (POWER(K27,J27)/FACT(K27)*(K27/(K27-J27)))/
  (SUMPRODUCT(POWER(J27,ROW(INDIRECT("1:"&amp;K27))-1)/FACT(ROW(INDIRECT("1:"&amp;K27))-1))+
  (POWER(K27,J27)/FACT(K27)*(K27/(K27-J27)))))</f>
        <v>5.2392673141626823E-4</v>
      </c>
    </row>
    <row r="28" spans="1:16" x14ac:dyDescent="0.2">
      <c r="A28" t="s">
        <v>15</v>
      </c>
      <c r="B28" s="1">
        <v>45663</v>
      </c>
      <c r="C28" t="s">
        <v>46</v>
      </c>
      <c r="D28">
        <v>17</v>
      </c>
      <c r="E28">
        <v>17</v>
      </c>
      <c r="F28">
        <f t="shared" si="0"/>
        <v>0</v>
      </c>
      <c r="G28" s="2">
        <f t="shared" si="1"/>
        <v>0</v>
      </c>
      <c r="H28">
        <v>264</v>
      </c>
      <c r="I28">
        <v>31</v>
      </c>
      <c r="J28" s="3">
        <f t="shared" si="2"/>
        <v>4.9866666666666664</v>
      </c>
      <c r="K28" s="3">
        <f t="shared" si="3"/>
        <v>9</v>
      </c>
      <c r="L28" s="4">
        <f t="shared" si="4"/>
        <v>0.55407407407407405</v>
      </c>
      <c r="M28" s="3">
        <f t="shared" ca="1" si="5"/>
        <v>0.17020768142493958</v>
      </c>
      <c r="N28" s="4">
        <f t="shared" ca="1" si="6"/>
        <v>0.99934130154129219</v>
      </c>
      <c r="P28" s="4" cm="1">
        <f t="array" aca="1" ref="P28" ca="1">IF(K28&lt;=J28,"Need More Agents",
  (POWER(K28,J28)/FACT(K28)*(K28/(K28-J28)))/
  (SUMPRODUCT(POWER(J28,ROW(INDIRECT("1:"&amp;K28))-1)/FACT(ROW(INDIRECT("1:"&amp;K28))-1))+
  (POWER(K28,J28)/FACT(K28)*(K28/(K28-J28)))))</f>
        <v>2.5875006115609507E-3</v>
      </c>
    </row>
    <row r="29" spans="1:16" x14ac:dyDescent="0.2">
      <c r="A29" t="s">
        <v>15</v>
      </c>
      <c r="B29" s="1">
        <v>45663</v>
      </c>
      <c r="C29" t="s">
        <v>47</v>
      </c>
      <c r="D29">
        <v>14</v>
      </c>
      <c r="E29">
        <v>14</v>
      </c>
      <c r="F29">
        <f t="shared" si="0"/>
        <v>0</v>
      </c>
      <c r="G29" s="2">
        <f t="shared" si="1"/>
        <v>0</v>
      </c>
      <c r="H29">
        <v>270</v>
      </c>
      <c r="I29">
        <v>27</v>
      </c>
      <c r="J29" s="3">
        <f t="shared" si="2"/>
        <v>4.2</v>
      </c>
      <c r="K29" s="3">
        <f t="shared" si="3"/>
        <v>8</v>
      </c>
      <c r="L29" s="4">
        <f t="shared" si="4"/>
        <v>0.52500000000000002</v>
      </c>
      <c r="M29" s="3">
        <f t="shared" ca="1" si="5"/>
        <v>0.36707560970653086</v>
      </c>
      <c r="N29" s="4">
        <f t="shared" ca="1" si="6"/>
        <v>0.99854430960131035</v>
      </c>
      <c r="P29" s="4" cm="1">
        <f t="array" aca="1" ref="P29" ca="1">IF(K29&lt;=J29,"Need More Agents",
  (POWER(K29,J29)/FACT(K29)*(K29/(K29-J29)))/
  (SUMPRODUCT(POWER(J29,ROW(INDIRECT("1:"&amp;K29))-1)/FACT(ROW(INDIRECT("1:"&amp;K29))-1))+
  (POWER(K29,J29)/FACT(K29)*(K29/(K29-J29)))))</f>
        <v>5.1662493217956192E-3</v>
      </c>
    </row>
    <row r="30" spans="1:16" x14ac:dyDescent="0.2">
      <c r="A30" t="s">
        <v>15</v>
      </c>
      <c r="B30" s="1">
        <v>45663</v>
      </c>
      <c r="C30" t="s">
        <v>48</v>
      </c>
      <c r="D30">
        <v>24</v>
      </c>
      <c r="E30">
        <v>23</v>
      </c>
      <c r="F30">
        <f t="shared" si="0"/>
        <v>1</v>
      </c>
      <c r="G30" s="2">
        <f t="shared" si="1"/>
        <v>4.1666666666666664E-2</v>
      </c>
      <c r="H30">
        <v>270</v>
      </c>
      <c r="I30">
        <v>42</v>
      </c>
      <c r="J30" s="3">
        <f t="shared" si="2"/>
        <v>7.2</v>
      </c>
      <c r="K30" s="3">
        <f t="shared" si="3"/>
        <v>12</v>
      </c>
      <c r="L30" s="4">
        <f t="shared" si="4"/>
        <v>0.6</v>
      </c>
      <c r="M30" s="3">
        <f t="shared" ca="1" si="5"/>
        <v>1.3772750797681614E-2</v>
      </c>
      <c r="N30" s="4">
        <f t="shared" ca="1" si="6"/>
        <v>0.99995056585903541</v>
      </c>
      <c r="P30" s="4" cm="1">
        <f t="array" aca="1" ref="P30" ca="1">IF(K30&lt;=J30,"Need More Agents",
  (POWER(K30,J30)/FACT(K30)*(K30/(K30-J30)))/
  (SUMPRODUCT(POWER(J30,ROW(INDIRECT("1:"&amp;K30))-1)/FACT(ROW(INDIRECT("1:"&amp;K30))-1))+
  (POWER(K30,J30)/FACT(K30)*(K30/(K30-J30)))))</f>
        <v>2.4484890306989532E-4</v>
      </c>
    </row>
    <row r="31" spans="1:16" x14ac:dyDescent="0.2">
      <c r="A31" t="s">
        <v>15</v>
      </c>
      <c r="B31" s="1">
        <v>45663</v>
      </c>
      <c r="C31" t="s">
        <v>49</v>
      </c>
      <c r="D31">
        <v>17</v>
      </c>
      <c r="E31">
        <v>17</v>
      </c>
      <c r="F31">
        <f t="shared" si="0"/>
        <v>0</v>
      </c>
      <c r="G31" s="2">
        <f t="shared" si="1"/>
        <v>0</v>
      </c>
      <c r="H31">
        <v>264</v>
      </c>
      <c r="I31">
        <v>31</v>
      </c>
      <c r="J31" s="3">
        <f t="shared" si="2"/>
        <v>4.9866666666666664</v>
      </c>
      <c r="K31" s="3">
        <f t="shared" si="3"/>
        <v>9</v>
      </c>
      <c r="L31" s="4">
        <f t="shared" si="4"/>
        <v>0.55407407407407405</v>
      </c>
      <c r="M31" s="3">
        <f t="shared" ca="1" si="5"/>
        <v>0.17020768142493958</v>
      </c>
      <c r="N31" s="4">
        <f t="shared" ca="1" si="6"/>
        <v>0.99934130154129219</v>
      </c>
      <c r="P31" s="4" cm="1">
        <f t="array" aca="1" ref="P31" ca="1">IF(K31&lt;=J31,"Need More Agents",
  (POWER(K31,J31)/FACT(K31)*(K31/(K31-J31)))/
  (SUMPRODUCT(POWER(J31,ROW(INDIRECT("1:"&amp;K31))-1)/FACT(ROW(INDIRECT("1:"&amp;K31))-1))+
  (POWER(K31,J31)/FACT(K31)*(K31/(K31-J31)))))</f>
        <v>2.5875006115609507E-3</v>
      </c>
    </row>
    <row r="32" spans="1:16" x14ac:dyDescent="0.2">
      <c r="A32" t="s">
        <v>15</v>
      </c>
      <c r="B32" s="1">
        <v>45663</v>
      </c>
      <c r="C32" t="s">
        <v>50</v>
      </c>
      <c r="D32">
        <v>14</v>
      </c>
      <c r="E32">
        <v>14</v>
      </c>
      <c r="F32">
        <f t="shared" si="0"/>
        <v>0</v>
      </c>
      <c r="G32" s="2">
        <f t="shared" si="1"/>
        <v>0</v>
      </c>
      <c r="H32">
        <v>270</v>
      </c>
      <c r="I32">
        <v>27</v>
      </c>
      <c r="J32" s="3">
        <f t="shared" si="2"/>
        <v>4.2</v>
      </c>
      <c r="K32" s="3">
        <f t="shared" si="3"/>
        <v>8</v>
      </c>
      <c r="L32" s="4">
        <f t="shared" si="4"/>
        <v>0.52500000000000002</v>
      </c>
      <c r="M32" s="3">
        <f t="shared" ca="1" si="5"/>
        <v>0.36707560970653086</v>
      </c>
      <c r="N32" s="4">
        <f t="shared" ca="1" si="6"/>
        <v>0.99854430960131035</v>
      </c>
      <c r="P32" s="4" cm="1">
        <f t="array" aca="1" ref="P32" ca="1">IF(K32&lt;=J32,"Need More Agents",
  (POWER(K32,J32)/FACT(K32)*(K32/(K32-J32)))/
  (SUMPRODUCT(POWER(J32,ROW(INDIRECT("1:"&amp;K32))-1)/FACT(ROW(INDIRECT("1:"&amp;K32))-1))+
  (POWER(K32,J32)/FACT(K32)*(K32/(K32-J32)))))</f>
        <v>5.1662493217956192E-3</v>
      </c>
    </row>
    <row r="33" spans="1:16" x14ac:dyDescent="0.2">
      <c r="A33" t="s">
        <v>15</v>
      </c>
      <c r="B33" s="1">
        <v>45663</v>
      </c>
      <c r="C33" t="s">
        <v>51</v>
      </c>
      <c r="D33">
        <v>11</v>
      </c>
      <c r="E33">
        <v>11</v>
      </c>
      <c r="F33">
        <f t="shared" si="0"/>
        <v>0</v>
      </c>
      <c r="G33" s="2">
        <f t="shared" si="1"/>
        <v>0</v>
      </c>
      <c r="H33">
        <v>264</v>
      </c>
      <c r="I33">
        <v>24</v>
      </c>
      <c r="J33" s="3">
        <f t="shared" si="2"/>
        <v>3.2266666666666666</v>
      </c>
      <c r="K33" s="3">
        <f t="shared" si="3"/>
        <v>6</v>
      </c>
      <c r="L33" s="4">
        <f t="shared" si="4"/>
        <v>0.5377777777777778</v>
      </c>
      <c r="M33" s="3">
        <f t="shared" ca="1" si="5"/>
        <v>3.9569032882942223</v>
      </c>
      <c r="N33" s="4">
        <f t="shared" ca="1" si="6"/>
        <v>0.983850916190665</v>
      </c>
      <c r="P33" s="4" cm="1">
        <f t="array" aca="1" ref="P33" ca="1">IF(K33&lt;=J33,"Need More Agents",
  (POWER(K33,J33)/FACT(K33)*(K33/(K33-J33)))/
  (SUMPRODUCT(POWER(J33,ROW(INDIRECT("1:"&amp;K33))-1)/FACT(ROW(INDIRECT("1:"&amp;K33))-1))+
  (POWER(K33,J33)/FACT(K33)*(K33/(K33-J33)))))</f>
        <v>4.1567468887131226E-2</v>
      </c>
    </row>
    <row r="34" spans="1:16" x14ac:dyDescent="0.2">
      <c r="A34" t="s">
        <v>15</v>
      </c>
      <c r="B34" s="1">
        <v>45663</v>
      </c>
      <c r="C34" t="s">
        <v>52</v>
      </c>
      <c r="D34">
        <v>20</v>
      </c>
      <c r="E34">
        <v>19</v>
      </c>
      <c r="F34">
        <f t="shared" si="0"/>
        <v>1</v>
      </c>
      <c r="G34" s="2">
        <f t="shared" si="1"/>
        <v>0.05</v>
      </c>
      <c r="H34">
        <v>276</v>
      </c>
      <c r="I34">
        <v>46</v>
      </c>
      <c r="J34" s="3">
        <f t="shared" si="2"/>
        <v>6.1333333333333337</v>
      </c>
      <c r="K34" s="3">
        <f t="shared" si="3"/>
        <v>10</v>
      </c>
      <c r="L34" s="4">
        <f t="shared" si="4"/>
        <v>0.6133333333333334</v>
      </c>
      <c r="M34" s="3">
        <f t="shared" ca="1" si="5"/>
        <v>0.16508808545219589</v>
      </c>
      <c r="N34" s="4">
        <f t="shared" ca="1" si="6"/>
        <v>0.99934452717845523</v>
      </c>
      <c r="P34" s="4" cm="1">
        <f t="array" aca="1" ref="P34" ca="1">IF(K34&lt;=J34,"Need More Agents",
  (POWER(K34,J34)/FACT(K34)*(K34/(K34-J34)))/
  (SUMPRODUCT(POWER(J34,ROW(INDIRECT("1:"&amp;K34))-1)/FACT(ROW(INDIRECT("1:"&amp;K34))-1))+
  (POWER(K34,J34)/FACT(K34)*(K34/(K34-J34)))))</f>
        <v>2.312828250296464E-3</v>
      </c>
    </row>
    <row r="35" spans="1:16" x14ac:dyDescent="0.2">
      <c r="A35" t="s">
        <v>15</v>
      </c>
      <c r="B35" s="1">
        <v>45663</v>
      </c>
      <c r="C35" t="s">
        <v>53</v>
      </c>
      <c r="D35">
        <v>14</v>
      </c>
      <c r="E35">
        <v>14</v>
      </c>
      <c r="F35">
        <f t="shared" si="0"/>
        <v>0</v>
      </c>
      <c r="G35" s="2">
        <f t="shared" si="1"/>
        <v>0</v>
      </c>
      <c r="H35">
        <v>270</v>
      </c>
      <c r="I35">
        <v>27</v>
      </c>
      <c r="J35" s="3">
        <f t="shared" si="2"/>
        <v>4.2</v>
      </c>
      <c r="K35" s="3">
        <f t="shared" si="3"/>
        <v>8</v>
      </c>
      <c r="L35" s="4">
        <f t="shared" si="4"/>
        <v>0.52500000000000002</v>
      </c>
      <c r="M35" s="3">
        <f t="shared" ca="1" si="5"/>
        <v>0.36707560970653086</v>
      </c>
      <c r="N35" s="4">
        <f t="shared" ca="1" si="6"/>
        <v>0.99854430960131035</v>
      </c>
      <c r="P35" s="4" cm="1">
        <f t="array" aca="1" ref="P35" ca="1">IF(K35&lt;=J35,"Need More Agents",
  (POWER(K35,J35)/FACT(K35)*(K35/(K35-J35)))/
  (SUMPRODUCT(POWER(J35,ROW(INDIRECT("1:"&amp;K35))-1)/FACT(ROW(INDIRECT("1:"&amp;K35))-1))+
  (POWER(K35,J35)/FACT(K35)*(K35/(K35-J35)))))</f>
        <v>5.1662493217956192E-3</v>
      </c>
    </row>
    <row r="36" spans="1:16" x14ac:dyDescent="0.2">
      <c r="A36" t="s">
        <v>15</v>
      </c>
      <c r="B36" s="1">
        <v>45663</v>
      </c>
      <c r="C36" t="s">
        <v>54</v>
      </c>
      <c r="D36">
        <v>11</v>
      </c>
      <c r="E36">
        <v>11</v>
      </c>
      <c r="F36">
        <f t="shared" si="0"/>
        <v>0</v>
      </c>
      <c r="G36" s="2">
        <f t="shared" si="1"/>
        <v>0</v>
      </c>
      <c r="H36">
        <v>264</v>
      </c>
      <c r="I36">
        <v>24</v>
      </c>
      <c r="J36" s="3">
        <f t="shared" si="2"/>
        <v>3.2266666666666666</v>
      </c>
      <c r="K36" s="3">
        <f t="shared" si="3"/>
        <v>6</v>
      </c>
      <c r="L36" s="4">
        <f t="shared" si="4"/>
        <v>0.5377777777777778</v>
      </c>
      <c r="M36" s="3">
        <f t="shared" ca="1" si="5"/>
        <v>3.9569032882942223</v>
      </c>
      <c r="N36" s="4">
        <f t="shared" ca="1" si="6"/>
        <v>0.983850916190665</v>
      </c>
      <c r="P36" s="4" cm="1">
        <f t="array" aca="1" ref="P36" ca="1">IF(K36&lt;=J36,"Need More Agents",
  (POWER(K36,J36)/FACT(K36)*(K36/(K36-J36)))/
  (SUMPRODUCT(POWER(J36,ROW(INDIRECT("1:"&amp;K36))-1)/FACT(ROW(INDIRECT("1:"&amp;K36))-1))+
  (POWER(K36,J36)/FACT(K36)*(K36/(K36-J36)))))</f>
        <v>4.1567468887131226E-2</v>
      </c>
    </row>
    <row r="37" spans="1:16" x14ac:dyDescent="0.2">
      <c r="A37" t="s">
        <v>15</v>
      </c>
      <c r="B37" s="1">
        <v>45663</v>
      </c>
      <c r="C37" t="s">
        <v>55</v>
      </c>
      <c r="D37">
        <v>9</v>
      </c>
      <c r="E37">
        <v>9</v>
      </c>
      <c r="F37">
        <f t="shared" si="0"/>
        <v>0</v>
      </c>
      <c r="G37" s="2">
        <f t="shared" si="1"/>
        <v>0</v>
      </c>
      <c r="H37">
        <v>270</v>
      </c>
      <c r="I37">
        <v>22</v>
      </c>
      <c r="J37" s="3">
        <f t="shared" si="2"/>
        <v>2.7</v>
      </c>
      <c r="K37" s="3">
        <f t="shared" si="3"/>
        <v>6</v>
      </c>
      <c r="L37" s="4">
        <f t="shared" si="4"/>
        <v>0.45</v>
      </c>
      <c r="M37" s="3">
        <f t="shared" ca="1" si="5"/>
        <v>1.8162814084395087</v>
      </c>
      <c r="N37" s="4">
        <f t="shared" ca="1" si="6"/>
        <v>0.99261059647999195</v>
      </c>
      <c r="P37" s="4" cm="1">
        <f t="array" aca="1" ref="P37" ca="1">IF(K37&lt;=J37,"Need More Agents",
  (POWER(K37,J37)/FACT(K37)*(K37/(K37-J37)))/
  (SUMPRODUCT(POWER(J37,ROW(INDIRECT("1:"&amp;K37))-1)/FACT(ROW(INDIRECT("1:"&amp;K37))-1))+
  (POWER(K37,J37)/FACT(K37)*(K37/(K37-J37)))))</f>
        <v>2.2198994992038441E-2</v>
      </c>
    </row>
    <row r="38" spans="1:16" x14ac:dyDescent="0.2">
      <c r="A38" t="s">
        <v>56</v>
      </c>
      <c r="B38" s="1">
        <v>45664</v>
      </c>
      <c r="C38" t="s">
        <v>16</v>
      </c>
      <c r="D38">
        <v>15</v>
      </c>
      <c r="E38">
        <v>14</v>
      </c>
      <c r="F38">
        <f t="shared" si="0"/>
        <v>1</v>
      </c>
      <c r="G38" s="2">
        <f t="shared" si="1"/>
        <v>6.6666666666666666E-2</v>
      </c>
      <c r="H38">
        <v>264</v>
      </c>
      <c r="I38">
        <v>50</v>
      </c>
      <c r="J38" s="3">
        <f t="shared" si="2"/>
        <v>4.4000000000000004</v>
      </c>
      <c r="K38" s="3">
        <f t="shared" si="3"/>
        <v>8</v>
      </c>
      <c r="L38" s="4">
        <f t="shared" si="4"/>
        <v>0.55000000000000004</v>
      </c>
      <c r="M38" s="3">
        <f t="shared" ca="1" si="5"/>
        <v>0.50329175795908876</v>
      </c>
      <c r="N38" s="4">
        <f t="shared" ca="1" si="6"/>
        <v>0.99798849730401828</v>
      </c>
      <c r="P38" s="4" cm="1">
        <f t="array" aca="1" ref="P38" ca="1">IF(K38&lt;=J38,"Need More Agents",
  (POWER(K38,J38)/FACT(K38)*(K38/(K38-J38)))/
  (SUMPRODUCT(POWER(J38,ROW(INDIRECT("1:"&amp;K38))-1)/FACT(ROW(INDIRECT("1:"&amp;K38))-1))+
  (POWER(K38,J38)/FACT(K38)*(K38/(K38-J38)))))</f>
        <v>6.863069426714846E-3</v>
      </c>
    </row>
    <row r="39" spans="1:16" x14ac:dyDescent="0.2">
      <c r="A39" t="s">
        <v>56</v>
      </c>
      <c r="B39" s="1">
        <v>45664</v>
      </c>
      <c r="C39" t="s">
        <v>18</v>
      </c>
      <c r="D39">
        <v>11</v>
      </c>
      <c r="E39">
        <v>11</v>
      </c>
      <c r="F39">
        <f t="shared" si="0"/>
        <v>0</v>
      </c>
      <c r="G39" s="2">
        <f t="shared" si="1"/>
        <v>0</v>
      </c>
      <c r="H39">
        <v>270</v>
      </c>
      <c r="I39">
        <v>26</v>
      </c>
      <c r="J39" s="3">
        <f t="shared" si="2"/>
        <v>3.3</v>
      </c>
      <c r="K39" s="3">
        <f t="shared" si="3"/>
        <v>7</v>
      </c>
      <c r="L39" s="4">
        <f t="shared" si="4"/>
        <v>0.47142857142857142</v>
      </c>
      <c r="M39" s="3">
        <f t="shared" ca="1" si="5"/>
        <v>0.64881217474328701</v>
      </c>
      <c r="N39" s="4">
        <f t="shared" ca="1" si="6"/>
        <v>0.99740983703401687</v>
      </c>
      <c r="P39" s="4" cm="1">
        <f t="array" aca="1" ref="P39" ca="1">IF(K39&lt;=J39,"Need More Agents",
  (POWER(K39,J39)/FACT(K39)*(K39/(K39-J39)))/
  (SUMPRODUCT(POWER(J39,ROW(INDIRECT("1:"&amp;K39))-1)/FACT(ROW(INDIRECT("1:"&amp;K39))-1))+
  (POWER(K39,J39)/FACT(K39)*(K39/(K39-J39)))))</f>
        <v>8.891129802037637E-3</v>
      </c>
    </row>
    <row r="40" spans="1:16" x14ac:dyDescent="0.2">
      <c r="A40" t="s">
        <v>56</v>
      </c>
      <c r="B40" s="1">
        <v>45664</v>
      </c>
      <c r="C40" t="s">
        <v>20</v>
      </c>
      <c r="D40">
        <v>9</v>
      </c>
      <c r="E40">
        <v>9</v>
      </c>
      <c r="F40">
        <f t="shared" si="0"/>
        <v>0</v>
      </c>
      <c r="G40" s="2">
        <f t="shared" si="1"/>
        <v>0</v>
      </c>
      <c r="H40">
        <v>264</v>
      </c>
      <c r="I40">
        <v>22</v>
      </c>
      <c r="J40" s="3">
        <f t="shared" si="2"/>
        <v>2.64</v>
      </c>
      <c r="K40" s="3">
        <f t="shared" si="3"/>
        <v>6</v>
      </c>
      <c r="L40" s="4">
        <f t="shared" si="4"/>
        <v>0.44</v>
      </c>
      <c r="M40" s="3">
        <f t="shared" ca="1" si="5"/>
        <v>1.6279460847381793</v>
      </c>
      <c r="N40" s="4">
        <f t="shared" ca="1" si="6"/>
        <v>0.99340961509723169</v>
      </c>
      <c r="P40" s="4" cm="1">
        <f t="array" aca="1" ref="P40" ca="1">IF(K40&lt;=J40,"Need More Agents",
  (POWER(K40,J40)/FACT(K40)*(K40/(K40-J40)))/
  (SUMPRODUCT(POWER(J40,ROW(INDIRECT("1:"&amp;K40))-1)/FACT(ROW(INDIRECT("1:"&amp;K40))-1))+
  (POWER(K40,J40)/FACT(K40)*(K40/(K40-J40)))))</f>
        <v>2.0719313805758643E-2</v>
      </c>
    </row>
    <row r="41" spans="1:16" x14ac:dyDescent="0.2">
      <c r="A41" t="s">
        <v>56</v>
      </c>
      <c r="B41" s="1">
        <v>45664</v>
      </c>
      <c r="C41" t="s">
        <v>22</v>
      </c>
      <c r="D41">
        <v>7</v>
      </c>
      <c r="E41">
        <v>7</v>
      </c>
      <c r="F41">
        <f t="shared" si="0"/>
        <v>0</v>
      </c>
      <c r="G41" s="2">
        <f t="shared" si="1"/>
        <v>0</v>
      </c>
      <c r="H41">
        <v>276</v>
      </c>
      <c r="I41">
        <v>20</v>
      </c>
      <c r="J41" s="3">
        <f t="shared" si="2"/>
        <v>2.1466666666666665</v>
      </c>
      <c r="K41" s="3">
        <f t="shared" si="3"/>
        <v>5</v>
      </c>
      <c r="L41" s="4">
        <f t="shared" si="4"/>
        <v>0.42933333333333329</v>
      </c>
      <c r="M41" s="3">
        <f t="shared" ca="1" si="5"/>
        <v>5.2938317630096057</v>
      </c>
      <c r="N41" s="4">
        <f t="shared" ca="1" si="6"/>
        <v>0.97841605272593513</v>
      </c>
      <c r="P41" s="4" cm="1">
        <f t="array" aca="1" ref="P41" ca="1">IF(K41&lt;=J41,"Need More Agents",
  (POWER(K41,J41)/FACT(K41)*(K41/(K41-J41)))/
  (SUMPRODUCT(POWER(J41,ROW(INDIRECT("1:"&amp;K41))-1)/FACT(ROW(INDIRECT("1:"&amp;K41))-1))+
  (POWER(K41,J41)/FACT(K41)*(K41/(K41-J41)))))</f>
        <v>5.4728502284253897E-2</v>
      </c>
    </row>
    <row r="42" spans="1:16" x14ac:dyDescent="0.2">
      <c r="A42" t="s">
        <v>56</v>
      </c>
      <c r="B42" s="1">
        <v>45664</v>
      </c>
      <c r="C42" t="s">
        <v>24</v>
      </c>
      <c r="D42">
        <v>23</v>
      </c>
      <c r="E42">
        <v>22</v>
      </c>
      <c r="F42">
        <f t="shared" si="0"/>
        <v>1</v>
      </c>
      <c r="G42" s="2">
        <f t="shared" si="1"/>
        <v>4.3478260869565216E-2</v>
      </c>
      <c r="H42">
        <v>270</v>
      </c>
      <c r="I42">
        <v>44</v>
      </c>
      <c r="J42" s="3">
        <f t="shared" si="2"/>
        <v>6.9</v>
      </c>
      <c r="K42" s="3">
        <f t="shared" si="3"/>
        <v>11</v>
      </c>
      <c r="L42" s="4">
        <f t="shared" si="4"/>
        <v>0.62727272727272732</v>
      </c>
      <c r="M42" s="3">
        <f t="shared" ca="1" si="5"/>
        <v>7.5201276566086453E-2</v>
      </c>
      <c r="N42" s="4">
        <f t="shared" ca="1" si="6"/>
        <v>0.99970885488103967</v>
      </c>
      <c r="P42" s="4" cm="1">
        <f t="array" aca="1" ref="P42" ca="1">IF(K42&lt;=J42,"Need More Agents",
  (POWER(K42,J42)/FACT(K42)*(K42/(K42-J42)))/
  (SUMPRODUCT(POWER(J42,ROW(INDIRECT("1:"&amp;K42))-1)/FACT(ROW(INDIRECT("1:"&amp;K42))-1))+
  (POWER(K42,J42)/FACT(K42)*(K42/(K42-J42)))))</f>
        <v>1.1419453108183499E-3</v>
      </c>
    </row>
    <row r="43" spans="1:16" x14ac:dyDescent="0.2">
      <c r="A43" t="s">
        <v>56</v>
      </c>
      <c r="B43" s="1">
        <v>45664</v>
      </c>
      <c r="C43" t="s">
        <v>25</v>
      </c>
      <c r="D43">
        <v>16</v>
      </c>
      <c r="E43">
        <v>16</v>
      </c>
      <c r="F43">
        <f t="shared" si="0"/>
        <v>0</v>
      </c>
      <c r="G43" s="2">
        <f t="shared" si="1"/>
        <v>0</v>
      </c>
      <c r="H43">
        <v>264</v>
      </c>
      <c r="I43">
        <v>30</v>
      </c>
      <c r="J43" s="3">
        <f t="shared" si="2"/>
        <v>4.6933333333333334</v>
      </c>
      <c r="K43" s="3">
        <f t="shared" si="3"/>
        <v>8</v>
      </c>
      <c r="L43" s="4">
        <f t="shared" si="4"/>
        <v>0.58666666666666667</v>
      </c>
      <c r="M43" s="3">
        <f t="shared" ca="1" si="5"/>
        <v>0.83830861505329679</v>
      </c>
      <c r="N43" s="4">
        <f t="shared" ca="1" si="6"/>
        <v>0.99659887890663468</v>
      </c>
      <c r="P43" s="4" cm="1">
        <f t="array" aca="1" ref="P43" ca="1">IF(K43&lt;=J43,"Need More Agents",
  (POWER(K43,J43)/FACT(K43)*(K43/(K43-J43)))/
  (SUMPRODUCT(POWER(J43,ROW(INDIRECT("1:"&amp;K43))-1)/FACT(ROW(INDIRECT("1:"&amp;K43))-1))+
  (POWER(K43,J43)/FACT(K43)*(K43/(K43-J43)))))</f>
        <v>1.0500027097637253E-2</v>
      </c>
    </row>
    <row r="44" spans="1:16" x14ac:dyDescent="0.2">
      <c r="A44" t="s">
        <v>56</v>
      </c>
      <c r="B44" s="1">
        <v>45664</v>
      </c>
      <c r="C44" t="s">
        <v>26</v>
      </c>
      <c r="D44">
        <v>13</v>
      </c>
      <c r="E44">
        <v>13</v>
      </c>
      <c r="F44">
        <f t="shared" si="0"/>
        <v>0</v>
      </c>
      <c r="G44" s="2">
        <f t="shared" si="1"/>
        <v>0</v>
      </c>
      <c r="H44">
        <v>270</v>
      </c>
      <c r="I44">
        <v>27</v>
      </c>
      <c r="J44" s="3">
        <f t="shared" si="2"/>
        <v>3.9</v>
      </c>
      <c r="K44" s="3">
        <f t="shared" si="3"/>
        <v>7</v>
      </c>
      <c r="L44" s="4">
        <f t="shared" si="4"/>
        <v>0.55714285714285716</v>
      </c>
      <c r="M44" s="3">
        <f t="shared" ca="1" si="5"/>
        <v>1.7016866732250886</v>
      </c>
      <c r="N44" s="4">
        <f t="shared" ca="1" si="6"/>
        <v>0.99304805123538997</v>
      </c>
      <c r="P44" s="4" cm="1">
        <f t="array" aca="1" ref="P44" ca="1">IF(K44&lt;=J44,"Need More Agents",
  (POWER(K44,J44)/FACT(K44)*(K44/(K44-J44)))/
  (SUMPRODUCT(POWER(J44,ROW(INDIRECT("1:"&amp;K44))-1)/FACT(ROW(INDIRECT("1:"&amp;K44))-1))+
  (POWER(K44,J44)/FACT(K44)*(K44/(K44-J44)))))</f>
        <v>1.9537884025917683E-2</v>
      </c>
    </row>
    <row r="45" spans="1:16" x14ac:dyDescent="0.2">
      <c r="A45" t="s">
        <v>56</v>
      </c>
      <c r="B45" s="1">
        <v>45664</v>
      </c>
      <c r="C45" t="s">
        <v>27</v>
      </c>
      <c r="D45">
        <v>11</v>
      </c>
      <c r="E45">
        <v>11</v>
      </c>
      <c r="F45">
        <f t="shared" si="0"/>
        <v>0</v>
      </c>
      <c r="G45" s="2">
        <f t="shared" si="1"/>
        <v>0</v>
      </c>
      <c r="H45">
        <v>264</v>
      </c>
      <c r="I45">
        <v>24</v>
      </c>
      <c r="J45" s="3">
        <f t="shared" si="2"/>
        <v>3.2266666666666666</v>
      </c>
      <c r="K45" s="3">
        <f t="shared" si="3"/>
        <v>6</v>
      </c>
      <c r="L45" s="4">
        <f t="shared" si="4"/>
        <v>0.5377777777777778</v>
      </c>
      <c r="M45" s="3">
        <f t="shared" ca="1" si="5"/>
        <v>3.9569032882942223</v>
      </c>
      <c r="N45" s="4">
        <f t="shared" ca="1" si="6"/>
        <v>0.983850916190665</v>
      </c>
      <c r="P45" s="4" cm="1">
        <f t="array" aca="1" ref="P45" ca="1">IF(K45&lt;=J45,"Need More Agents",
  (POWER(K45,J45)/FACT(K45)*(K45/(K45-J45)))/
  (SUMPRODUCT(POWER(J45,ROW(INDIRECT("1:"&amp;K45))-1)/FACT(ROW(INDIRECT("1:"&amp;K45))-1))+
  (POWER(K45,J45)/FACT(K45)*(K45/(K45-J45)))))</f>
        <v>4.1567468887131226E-2</v>
      </c>
    </row>
    <row r="46" spans="1:16" x14ac:dyDescent="0.2">
      <c r="A46" t="s">
        <v>56</v>
      </c>
      <c r="B46" s="1">
        <v>45664</v>
      </c>
      <c r="C46" t="s">
        <v>28</v>
      </c>
      <c r="D46">
        <v>29</v>
      </c>
      <c r="E46">
        <v>27</v>
      </c>
      <c r="F46">
        <f t="shared" si="0"/>
        <v>2</v>
      </c>
      <c r="G46" s="2">
        <f t="shared" si="1"/>
        <v>6.8965517241379309E-2</v>
      </c>
      <c r="H46">
        <v>276</v>
      </c>
      <c r="I46">
        <v>54</v>
      </c>
      <c r="J46" s="3">
        <f t="shared" si="2"/>
        <v>8.8933333333333326</v>
      </c>
      <c r="K46" s="3">
        <f t="shared" si="3"/>
        <v>14</v>
      </c>
      <c r="L46" s="4">
        <f t="shared" si="4"/>
        <v>0.63523809523809516</v>
      </c>
      <c r="M46" s="3">
        <f t="shared" ca="1" si="5"/>
        <v>3.9062605378804259E-3</v>
      </c>
      <c r="N46" s="4">
        <f t="shared" ca="1" si="6"/>
        <v>0.99998632916912489</v>
      </c>
      <c r="P46" s="4" cm="1">
        <f t="array" aca="1" ref="P46" ca="1">IF(K46&lt;=J46,"Need More Agents",
  (POWER(K46,J46)/FACT(K46)*(K46/(K46-J46)))/
  (SUMPRODUCT(POWER(J46,ROW(INDIRECT("1:"&amp;K46))-1)/FACT(ROW(INDIRECT("1:"&amp;K46))-1))+
  (POWER(K46,J46)/FACT(K46)*(K46/(K46-J46)))))</f>
        <v>7.227525536271514E-5</v>
      </c>
    </row>
    <row r="47" spans="1:16" x14ac:dyDescent="0.2">
      <c r="A47" t="s">
        <v>56</v>
      </c>
      <c r="B47" s="1">
        <v>45664</v>
      </c>
      <c r="C47" t="s">
        <v>29</v>
      </c>
      <c r="D47">
        <v>20</v>
      </c>
      <c r="E47">
        <v>20</v>
      </c>
      <c r="F47">
        <f t="shared" si="0"/>
        <v>0</v>
      </c>
      <c r="G47" s="2">
        <f t="shared" si="1"/>
        <v>0</v>
      </c>
      <c r="H47">
        <v>270</v>
      </c>
      <c r="I47">
        <v>34</v>
      </c>
      <c r="J47" s="3">
        <f t="shared" si="2"/>
        <v>6</v>
      </c>
      <c r="K47" s="3">
        <f t="shared" si="3"/>
        <v>10</v>
      </c>
      <c r="L47" s="4">
        <f t="shared" si="4"/>
        <v>0.6</v>
      </c>
      <c r="M47" s="3">
        <f t="shared" ca="1" si="5"/>
        <v>0.12559534052078566</v>
      </c>
      <c r="N47" s="4">
        <f t="shared" ca="1" si="6"/>
        <v>0.99950953226189709</v>
      </c>
      <c r="P47" s="4" cm="1">
        <f t="array" aca="1" ref="P47" ca="1">IF(K47&lt;=J47,"Need More Agents",
  (POWER(K47,J47)/FACT(K47)*(K47/(K47-J47)))/
  (SUMPRODUCT(POWER(J47,ROW(INDIRECT("1:"&amp;K47))-1)/FACT(ROW(INDIRECT("1:"&amp;K47))-1))+
  (POWER(K47,J47)/FACT(K47)*(K47/(K47-J47)))))</f>
        <v>1.8606717114190469E-3</v>
      </c>
    </row>
    <row r="48" spans="1:16" x14ac:dyDescent="0.2">
      <c r="A48" t="s">
        <v>56</v>
      </c>
      <c r="B48" s="1">
        <v>45664</v>
      </c>
      <c r="C48" t="s">
        <v>30</v>
      </c>
      <c r="D48">
        <v>16</v>
      </c>
      <c r="E48">
        <v>16</v>
      </c>
      <c r="F48">
        <f t="shared" si="0"/>
        <v>0</v>
      </c>
      <c r="G48" s="2">
        <f t="shared" si="1"/>
        <v>0</v>
      </c>
      <c r="H48">
        <v>264</v>
      </c>
      <c r="I48">
        <v>30</v>
      </c>
      <c r="J48" s="3">
        <f t="shared" si="2"/>
        <v>4.6933333333333334</v>
      </c>
      <c r="K48" s="3">
        <f t="shared" si="3"/>
        <v>8</v>
      </c>
      <c r="L48" s="4">
        <f t="shared" si="4"/>
        <v>0.58666666666666667</v>
      </c>
      <c r="M48" s="3">
        <f t="shared" ca="1" si="5"/>
        <v>0.83830861505329679</v>
      </c>
      <c r="N48" s="4">
        <f t="shared" ca="1" si="6"/>
        <v>0.99659887890663468</v>
      </c>
      <c r="P48" s="4" cm="1">
        <f t="array" aca="1" ref="P48" ca="1">IF(K48&lt;=J48,"Need More Agents",
  (POWER(K48,J48)/FACT(K48)*(K48/(K48-J48)))/
  (SUMPRODUCT(POWER(J48,ROW(INDIRECT("1:"&amp;K48))-1)/FACT(ROW(INDIRECT("1:"&amp;K48))-1))+
  (POWER(K48,J48)/FACT(K48)*(K48/(K48-J48)))))</f>
        <v>1.0500027097637253E-2</v>
      </c>
    </row>
    <row r="49" spans="1:16" x14ac:dyDescent="0.2">
      <c r="A49" t="s">
        <v>56</v>
      </c>
      <c r="B49" s="1">
        <v>45664</v>
      </c>
      <c r="C49" t="s">
        <v>31</v>
      </c>
      <c r="D49">
        <v>13</v>
      </c>
      <c r="E49">
        <v>13</v>
      </c>
      <c r="F49">
        <f t="shared" si="0"/>
        <v>0</v>
      </c>
      <c r="G49" s="2">
        <f t="shared" si="1"/>
        <v>0</v>
      </c>
      <c r="H49">
        <v>270</v>
      </c>
      <c r="I49">
        <v>26</v>
      </c>
      <c r="J49" s="3">
        <f t="shared" si="2"/>
        <v>3.9</v>
      </c>
      <c r="K49" s="3">
        <f t="shared" si="3"/>
        <v>7</v>
      </c>
      <c r="L49" s="4">
        <f t="shared" si="4"/>
        <v>0.55714285714285716</v>
      </c>
      <c r="M49" s="3">
        <f t="shared" ca="1" si="5"/>
        <v>1.7016866732250886</v>
      </c>
      <c r="N49" s="4">
        <f t="shared" ca="1" si="6"/>
        <v>0.99304805123538997</v>
      </c>
      <c r="P49" s="4" cm="1">
        <f t="array" aca="1" ref="P49" ca="1">IF(K49&lt;=J49,"Need More Agents",
  (POWER(K49,J49)/FACT(K49)*(K49/(K49-J49)))/
  (SUMPRODUCT(POWER(J49,ROW(INDIRECT("1:"&amp;K49))-1)/FACT(ROW(INDIRECT("1:"&amp;K49))-1))+
  (POWER(K49,J49)/FACT(K49)*(K49/(K49-J49)))))</f>
        <v>1.9537884025917683E-2</v>
      </c>
    </row>
    <row r="50" spans="1:16" x14ac:dyDescent="0.2">
      <c r="A50" t="s">
        <v>56</v>
      </c>
      <c r="B50" s="1">
        <v>45664</v>
      </c>
      <c r="C50" t="s">
        <v>32</v>
      </c>
      <c r="D50">
        <v>27</v>
      </c>
      <c r="E50">
        <v>26</v>
      </c>
      <c r="F50">
        <f t="shared" si="0"/>
        <v>1</v>
      </c>
      <c r="G50" s="2">
        <f t="shared" si="1"/>
        <v>3.7037037037037035E-2</v>
      </c>
      <c r="H50">
        <v>276</v>
      </c>
      <c r="I50">
        <v>43</v>
      </c>
      <c r="J50" s="3">
        <f t="shared" si="2"/>
        <v>8.2799999999999994</v>
      </c>
      <c r="K50" s="3">
        <f t="shared" si="3"/>
        <v>13</v>
      </c>
      <c r="L50" s="4">
        <f t="shared" si="4"/>
        <v>0.63692307692307693</v>
      </c>
      <c r="M50" s="3">
        <f t="shared" ca="1" si="5"/>
        <v>1.1897830013631931E-2</v>
      </c>
      <c r="N50" s="4">
        <f t="shared" ca="1" si="6"/>
        <v>0.99995634190097393</v>
      </c>
      <c r="P50" s="4" cm="1">
        <f t="array" aca="1" ref="P50" ca="1">IF(K50&lt;=J50,"Need More Agents",
  (POWER(K50,J50)/FACT(K50)*(K50/(K50-J50)))/
  (SUMPRODUCT(POWER(J50,ROW(INDIRECT("1:"&amp;K50))-1)/FACT(ROW(INDIRECT("1:"&amp;K50))-1))+
  (POWER(K50,J50)/FACT(K50)*(K50/(K50-J50)))))</f>
        <v>2.0347013646500987E-4</v>
      </c>
    </row>
    <row r="51" spans="1:16" x14ac:dyDescent="0.2">
      <c r="A51" t="s">
        <v>56</v>
      </c>
      <c r="B51" s="1">
        <v>45664</v>
      </c>
      <c r="C51" t="s">
        <v>33</v>
      </c>
      <c r="D51">
        <v>19</v>
      </c>
      <c r="E51">
        <v>19</v>
      </c>
      <c r="F51">
        <f t="shared" si="0"/>
        <v>0</v>
      </c>
      <c r="G51" s="2">
        <f t="shared" si="1"/>
        <v>0</v>
      </c>
      <c r="H51">
        <v>270</v>
      </c>
      <c r="I51">
        <v>32</v>
      </c>
      <c r="J51" s="3">
        <f t="shared" si="2"/>
        <v>5.7</v>
      </c>
      <c r="K51" s="3">
        <f t="shared" si="3"/>
        <v>10</v>
      </c>
      <c r="L51" s="4">
        <f t="shared" si="4"/>
        <v>0.57000000000000006</v>
      </c>
      <c r="M51" s="3">
        <f t="shared" ca="1" si="5"/>
        <v>7.2075902085726964E-2</v>
      </c>
      <c r="N51" s="4">
        <f t="shared" ca="1" si="6"/>
        <v>0.99972621728831623</v>
      </c>
      <c r="P51" s="4" cm="1">
        <f t="array" aca="1" ref="P51" ca="1">IF(K51&lt;=J51,"Need More Agents",
  (POWER(K51,J51)/FACT(K51)*(K51/(K51-J51)))/
  (SUMPRODUCT(POWER(J51,ROW(INDIRECT("1:"&amp;K51))-1)/FACT(ROW(INDIRECT("1:"&amp;K51))-1))+
  (POWER(K51,J51)/FACT(K51)*(K51/(K51-J51)))))</f>
        <v>1.1478754776615776E-3</v>
      </c>
    </row>
    <row r="52" spans="1:16" x14ac:dyDescent="0.2">
      <c r="A52" t="s">
        <v>56</v>
      </c>
      <c r="B52" s="1">
        <v>45664</v>
      </c>
      <c r="C52" t="s">
        <v>34</v>
      </c>
      <c r="D52">
        <v>15</v>
      </c>
      <c r="E52">
        <v>15</v>
      </c>
      <c r="F52">
        <f t="shared" si="0"/>
        <v>0</v>
      </c>
      <c r="G52" s="2">
        <f t="shared" si="1"/>
        <v>0</v>
      </c>
      <c r="H52">
        <v>264</v>
      </c>
      <c r="I52">
        <v>28</v>
      </c>
      <c r="J52" s="3">
        <f t="shared" si="2"/>
        <v>4.4000000000000004</v>
      </c>
      <c r="K52" s="3">
        <f t="shared" si="3"/>
        <v>8</v>
      </c>
      <c r="L52" s="4">
        <f t="shared" si="4"/>
        <v>0.55000000000000004</v>
      </c>
      <c r="M52" s="3">
        <f t="shared" ca="1" si="5"/>
        <v>0.50329175795908876</v>
      </c>
      <c r="N52" s="4">
        <f t="shared" ca="1" si="6"/>
        <v>0.99798849730401828</v>
      </c>
      <c r="P52" s="4" cm="1">
        <f t="array" aca="1" ref="P52" ca="1">IF(K52&lt;=J52,"Need More Agents",
  (POWER(K52,J52)/FACT(K52)*(K52/(K52-J52)))/
  (SUMPRODUCT(POWER(J52,ROW(INDIRECT("1:"&amp;K52))-1)/FACT(ROW(INDIRECT("1:"&amp;K52))-1))+
  (POWER(K52,J52)/FACT(K52)*(K52/(K52-J52)))))</f>
        <v>6.863069426714846E-3</v>
      </c>
    </row>
    <row r="53" spans="1:16" x14ac:dyDescent="0.2">
      <c r="A53" t="s">
        <v>56</v>
      </c>
      <c r="B53" s="1">
        <v>45664</v>
      </c>
      <c r="C53" t="s">
        <v>35</v>
      </c>
      <c r="D53">
        <v>12</v>
      </c>
      <c r="E53">
        <v>12</v>
      </c>
      <c r="F53">
        <f t="shared" si="0"/>
        <v>0</v>
      </c>
      <c r="G53" s="2">
        <f t="shared" si="1"/>
        <v>0</v>
      </c>
      <c r="H53">
        <v>270</v>
      </c>
      <c r="I53">
        <v>25</v>
      </c>
      <c r="J53" s="3">
        <f t="shared" si="2"/>
        <v>3.6</v>
      </c>
      <c r="K53" s="3">
        <f t="shared" si="3"/>
        <v>7</v>
      </c>
      <c r="L53" s="4">
        <f t="shared" si="4"/>
        <v>0.51428571428571435</v>
      </c>
      <c r="M53" s="3">
        <f t="shared" ca="1" si="5"/>
        <v>1.0406053292785904</v>
      </c>
      <c r="N53" s="4">
        <f t="shared" ca="1" si="6"/>
        <v>0.9957810849008546</v>
      </c>
      <c r="P53" s="4" cm="1">
        <f t="array" aca="1" ref="P53" ca="1">IF(K53&lt;=J53,"Need More Agents",
  (POWER(K53,J53)/FACT(K53)*(K53/(K53-J53)))/
  (SUMPRODUCT(POWER(J53,ROW(INDIRECT("1:"&amp;K53))-1)/FACT(ROW(INDIRECT("1:"&amp;K53))-1))+
  (POWER(K53,J53)/FACT(K53)*(K53/(K53-J53)))))</f>
        <v>1.3103918961285953E-2</v>
      </c>
    </row>
    <row r="54" spans="1:16" x14ac:dyDescent="0.2">
      <c r="A54" t="s">
        <v>56</v>
      </c>
      <c r="B54" s="1">
        <v>45664</v>
      </c>
      <c r="C54" t="s">
        <v>36</v>
      </c>
      <c r="D54">
        <v>18</v>
      </c>
      <c r="E54">
        <v>17</v>
      </c>
      <c r="F54">
        <f t="shared" si="0"/>
        <v>1</v>
      </c>
      <c r="G54" s="2">
        <f t="shared" si="1"/>
        <v>5.5555555555555552E-2</v>
      </c>
      <c r="H54">
        <v>264</v>
      </c>
      <c r="I54">
        <v>40</v>
      </c>
      <c r="J54" s="3">
        <f t="shared" si="2"/>
        <v>5.28</v>
      </c>
      <c r="K54" s="3">
        <f t="shared" si="3"/>
        <v>9</v>
      </c>
      <c r="L54" s="4">
        <f t="shared" si="4"/>
        <v>0.58666666666666667</v>
      </c>
      <c r="M54" s="3">
        <f t="shared" ca="1" si="5"/>
        <v>0.28742470970388151</v>
      </c>
      <c r="N54" s="4">
        <f t="shared" ca="1" si="6"/>
        <v>0.99886054088007858</v>
      </c>
      <c r="P54" s="4" cm="1">
        <f t="array" aca="1" ref="P54" ca="1">IF(K54&lt;=J54,"Need More Agents",
  (POWER(K54,J54)/FACT(K54)*(K54/(K54-J54)))/
  (SUMPRODUCT(POWER(J54,ROW(INDIRECT("1:"&amp;K54))-1)/FACT(ROW(INDIRECT("1:"&amp;K54))-1))+
  (POWER(K54,J54)/FACT(K54)*(K54/(K54-J54)))))</f>
        <v>4.0500754549183298E-3</v>
      </c>
    </row>
    <row r="55" spans="1:16" x14ac:dyDescent="0.2">
      <c r="A55" t="s">
        <v>56</v>
      </c>
      <c r="B55" s="1">
        <v>45664</v>
      </c>
      <c r="C55" t="s">
        <v>37</v>
      </c>
      <c r="D55">
        <v>13</v>
      </c>
      <c r="E55">
        <v>13</v>
      </c>
      <c r="F55">
        <f t="shared" si="0"/>
        <v>0</v>
      </c>
      <c r="G55" s="2">
        <f t="shared" si="1"/>
        <v>0</v>
      </c>
      <c r="H55">
        <v>270</v>
      </c>
      <c r="I55">
        <v>27</v>
      </c>
      <c r="J55" s="3">
        <f t="shared" si="2"/>
        <v>3.9</v>
      </c>
      <c r="K55" s="3">
        <f t="shared" si="3"/>
        <v>7</v>
      </c>
      <c r="L55" s="4">
        <f t="shared" si="4"/>
        <v>0.55714285714285716</v>
      </c>
      <c r="M55" s="3">
        <f t="shared" ca="1" si="5"/>
        <v>1.7016866732250886</v>
      </c>
      <c r="N55" s="4">
        <f t="shared" ca="1" si="6"/>
        <v>0.99304805123538997</v>
      </c>
      <c r="P55" s="4" cm="1">
        <f t="array" aca="1" ref="P55" ca="1">IF(K55&lt;=J55,"Need More Agents",
  (POWER(K55,J55)/FACT(K55)*(K55/(K55-J55)))/
  (SUMPRODUCT(POWER(J55,ROW(INDIRECT("1:"&amp;K55))-1)/FACT(ROW(INDIRECT("1:"&amp;K55))-1))+
  (POWER(K55,J55)/FACT(K55)*(K55/(K55-J55)))))</f>
        <v>1.9537884025917683E-2</v>
      </c>
    </row>
    <row r="56" spans="1:16" x14ac:dyDescent="0.2">
      <c r="A56" t="s">
        <v>56</v>
      </c>
      <c r="B56" s="1">
        <v>45664</v>
      </c>
      <c r="C56" t="s">
        <v>38</v>
      </c>
      <c r="D56">
        <v>10</v>
      </c>
      <c r="E56">
        <v>10</v>
      </c>
      <c r="F56">
        <f t="shared" si="0"/>
        <v>0</v>
      </c>
      <c r="G56" s="2">
        <f t="shared" si="1"/>
        <v>0</v>
      </c>
      <c r="H56">
        <v>264</v>
      </c>
      <c r="I56">
        <v>23</v>
      </c>
      <c r="J56" s="3">
        <f t="shared" si="2"/>
        <v>2.9333333333333331</v>
      </c>
      <c r="K56" s="3">
        <f t="shared" si="3"/>
        <v>6</v>
      </c>
      <c r="L56" s="4">
        <f t="shared" si="4"/>
        <v>0.48888888888888887</v>
      </c>
      <c r="M56" s="3">
        <f t="shared" ca="1" si="5"/>
        <v>2.5109704880973625</v>
      </c>
      <c r="N56" s="4">
        <f t="shared" ca="1" si="6"/>
        <v>0.98974657134244404</v>
      </c>
      <c r="P56" s="4" cm="1">
        <f t="array" aca="1" ref="P56" ca="1">IF(K56&lt;=J56,"Need More Agents",
  (POWER(K56,J56)/FACT(K56)*(K56/(K56-J56)))/
  (SUMPRODUCT(POWER(J56,ROW(INDIRECT("1:"&amp;K56))-1)/FACT(ROW(INDIRECT("1:"&amp;K56))-1))+
  (POWER(K56,J56)/FACT(K56)*(K56/(K56-J56)))))</f>
        <v>2.9167839003151182E-2</v>
      </c>
    </row>
    <row r="57" spans="1:16" x14ac:dyDescent="0.2">
      <c r="A57" t="s">
        <v>56</v>
      </c>
      <c r="B57" s="1">
        <v>45664</v>
      </c>
      <c r="C57" t="s">
        <v>39</v>
      </c>
      <c r="D57">
        <v>8</v>
      </c>
      <c r="E57">
        <v>8</v>
      </c>
      <c r="F57">
        <f t="shared" si="0"/>
        <v>0</v>
      </c>
      <c r="G57" s="2">
        <f t="shared" si="1"/>
        <v>0</v>
      </c>
      <c r="H57">
        <v>270</v>
      </c>
      <c r="I57">
        <v>21</v>
      </c>
      <c r="J57" s="3">
        <f t="shared" si="2"/>
        <v>2.4</v>
      </c>
      <c r="K57" s="3">
        <f t="shared" si="3"/>
        <v>5</v>
      </c>
      <c r="L57" s="4">
        <f t="shared" si="4"/>
        <v>0.48</v>
      </c>
      <c r="M57" s="3">
        <f t="shared" ca="1" si="5"/>
        <v>7.3819530344803725</v>
      </c>
      <c r="N57" s="4">
        <f t="shared" ca="1" si="6"/>
        <v>0.97011919381178136</v>
      </c>
      <c r="P57" s="4" cm="1">
        <f t="array" aca="1" ref="P57" ca="1">IF(K57&lt;=J57,"Need More Agents",
  (POWER(K57,J57)/FACT(K57)*(K57/(K57-J57)))/
  (SUMPRODUCT(POWER(J57,ROW(INDIRECT("1:"&amp;K57))-1)/FACT(ROW(INDIRECT("1:"&amp;K57))-1))+
  (POWER(K57,J57)/FACT(K57)*(K57/(K57-J57)))))</f>
        <v>7.108547366536655E-2</v>
      </c>
    </row>
    <row r="58" spans="1:16" x14ac:dyDescent="0.2">
      <c r="A58" t="s">
        <v>56</v>
      </c>
      <c r="B58" s="1">
        <v>45664</v>
      </c>
      <c r="C58" t="s">
        <v>40</v>
      </c>
      <c r="D58">
        <v>22</v>
      </c>
      <c r="E58">
        <v>21</v>
      </c>
      <c r="F58">
        <f t="shared" si="0"/>
        <v>1</v>
      </c>
      <c r="G58" s="2">
        <f t="shared" si="1"/>
        <v>4.5454545454545456E-2</v>
      </c>
      <c r="H58">
        <v>276</v>
      </c>
      <c r="I58">
        <v>42</v>
      </c>
      <c r="J58" s="3">
        <f t="shared" si="2"/>
        <v>6.746666666666667</v>
      </c>
      <c r="K58" s="3">
        <f t="shared" si="3"/>
        <v>11</v>
      </c>
      <c r="L58" s="4">
        <f t="shared" si="4"/>
        <v>0.6133333333333334</v>
      </c>
      <c r="M58" s="3">
        <f t="shared" ca="1" si="5"/>
        <v>5.7032630369682612E-2</v>
      </c>
      <c r="N58" s="4">
        <f t="shared" ca="1" si="6"/>
        <v>0.99978041828361675</v>
      </c>
      <c r="P58" s="4" cm="1">
        <f t="array" aca="1" ref="P58" ca="1">IF(K58&lt;=J58,"Need More Agents",
  (POWER(K58,J58)/FACT(K58)*(K58/(K58-J58)))/
  (SUMPRODUCT(POWER(J58,ROW(INDIRECT("1:"&amp;K58))-1)/FACT(ROW(INDIRECT("1:"&amp;K58))-1))+
  (POWER(K58,J58)/FACT(K58)*(K58/(K58-J58)))))</f>
        <v>8.7890865159076092E-4</v>
      </c>
    </row>
    <row r="59" spans="1:16" x14ac:dyDescent="0.2">
      <c r="A59" t="s">
        <v>56</v>
      </c>
      <c r="B59" s="1">
        <v>45664</v>
      </c>
      <c r="C59" t="s">
        <v>41</v>
      </c>
      <c r="D59">
        <v>15</v>
      </c>
      <c r="E59">
        <v>15</v>
      </c>
      <c r="F59">
        <f t="shared" si="0"/>
        <v>0</v>
      </c>
      <c r="G59" s="2">
        <f t="shared" si="1"/>
        <v>0</v>
      </c>
      <c r="H59">
        <v>270</v>
      </c>
      <c r="I59">
        <v>28</v>
      </c>
      <c r="J59" s="3">
        <f t="shared" si="2"/>
        <v>4.5</v>
      </c>
      <c r="K59" s="3">
        <f t="shared" si="3"/>
        <v>8</v>
      </c>
      <c r="L59" s="4">
        <f t="shared" si="4"/>
        <v>0.5625</v>
      </c>
      <c r="M59" s="3">
        <f t="shared" ca="1" si="5"/>
        <v>0.61129986945873616</v>
      </c>
      <c r="N59" s="4">
        <f t="shared" ca="1" si="6"/>
        <v>0.99753236064648854</v>
      </c>
      <c r="P59" s="4" cm="1">
        <f t="array" aca="1" ref="P59" ca="1">IF(K59&lt;=J59,"Need More Agents",
  (POWER(K59,J59)/FACT(K59)*(K59/(K59-J59)))/
  (SUMPRODUCT(POWER(J59,ROW(INDIRECT("1:"&amp;K59))-1)/FACT(ROW(INDIRECT("1:"&amp;K59))-1))+
  (POWER(K59,J59)/FACT(K59)*(K59/(K59-J59)))))</f>
        <v>7.9242575670576913E-3</v>
      </c>
    </row>
    <row r="60" spans="1:16" x14ac:dyDescent="0.2">
      <c r="A60" t="s">
        <v>56</v>
      </c>
      <c r="B60" s="1">
        <v>45664</v>
      </c>
      <c r="C60" t="s">
        <v>42</v>
      </c>
      <c r="D60">
        <v>13</v>
      </c>
      <c r="E60">
        <v>13</v>
      </c>
      <c r="F60">
        <f t="shared" si="0"/>
        <v>0</v>
      </c>
      <c r="G60" s="2">
        <f t="shared" si="1"/>
        <v>0</v>
      </c>
      <c r="H60">
        <v>264</v>
      </c>
      <c r="I60">
        <v>26</v>
      </c>
      <c r="J60" s="3">
        <f t="shared" si="2"/>
        <v>3.8133333333333335</v>
      </c>
      <c r="K60" s="3">
        <f t="shared" si="3"/>
        <v>7</v>
      </c>
      <c r="L60" s="4">
        <f t="shared" si="4"/>
        <v>0.54476190476190478</v>
      </c>
      <c r="M60" s="3">
        <f t="shared" ca="1" si="5"/>
        <v>1.4404387981796287</v>
      </c>
      <c r="N60" s="4">
        <f t="shared" ca="1" si="6"/>
        <v>0.99413286895292141</v>
      </c>
      <c r="P60" s="4" cm="1">
        <f t="array" aca="1" ref="P60" ca="1">IF(K60&lt;=J60,"Need More Agents",
  (POWER(K60,J60)/FACT(K60)*(K60/(K60-J60)))/
  (SUMPRODUCT(POWER(J60,ROW(INDIRECT("1:"&amp;K60))-1)/FACT(ROW(INDIRECT("1:"&amp;K60))-1))+
  (POWER(K60,J60)/FACT(K60)*(K60/(K60-J60)))))</f>
        <v>1.7387114786107639E-2</v>
      </c>
    </row>
    <row r="61" spans="1:16" x14ac:dyDescent="0.2">
      <c r="A61" t="s">
        <v>56</v>
      </c>
      <c r="B61" s="1">
        <v>45664</v>
      </c>
      <c r="C61" t="s">
        <v>43</v>
      </c>
      <c r="D61">
        <v>10</v>
      </c>
      <c r="E61">
        <v>10</v>
      </c>
      <c r="F61">
        <f t="shared" si="0"/>
        <v>0</v>
      </c>
      <c r="G61" s="2">
        <f t="shared" si="1"/>
        <v>0</v>
      </c>
      <c r="H61">
        <v>270</v>
      </c>
      <c r="I61">
        <v>23</v>
      </c>
      <c r="J61" s="3">
        <f t="shared" si="2"/>
        <v>3</v>
      </c>
      <c r="K61" s="3">
        <f t="shared" si="3"/>
        <v>6</v>
      </c>
      <c r="L61" s="4">
        <f t="shared" si="4"/>
        <v>0.5</v>
      </c>
      <c r="M61" s="3">
        <f t="shared" ca="1" si="5"/>
        <v>2.8421052631578951</v>
      </c>
      <c r="N61" s="4">
        <f t="shared" ca="1" si="6"/>
        <v>0.98838275448932289</v>
      </c>
      <c r="P61" s="4" cm="1">
        <f t="array" aca="1" ref="P61" ca="1">IF(K61&lt;=J61,"Need More Agents",
  (POWER(K61,J61)/FACT(K61)*(K61/(K61-J61)))/
  (SUMPRODUCT(POWER(J61,ROW(INDIRECT("1:"&amp;K61))-1)/FACT(ROW(INDIRECT("1:"&amp;K61))-1))+
  (POWER(K61,J61)/FACT(K61)*(K61/(K61-J61)))))</f>
        <v>3.1578947368421054E-2</v>
      </c>
    </row>
    <row r="62" spans="1:16" x14ac:dyDescent="0.2">
      <c r="A62" t="s">
        <v>56</v>
      </c>
      <c r="B62" s="1">
        <v>45664</v>
      </c>
      <c r="C62" t="s">
        <v>44</v>
      </c>
      <c r="D62">
        <v>25</v>
      </c>
      <c r="E62">
        <v>24</v>
      </c>
      <c r="F62">
        <f t="shared" si="0"/>
        <v>1</v>
      </c>
      <c r="G62" s="2">
        <f t="shared" si="1"/>
        <v>0.04</v>
      </c>
      <c r="H62">
        <v>276</v>
      </c>
      <c r="I62">
        <v>42</v>
      </c>
      <c r="J62" s="3">
        <f t="shared" si="2"/>
        <v>7.666666666666667</v>
      </c>
      <c r="K62" s="3">
        <f t="shared" si="3"/>
        <v>12</v>
      </c>
      <c r="L62" s="4">
        <f t="shared" si="4"/>
        <v>0.63888888888888895</v>
      </c>
      <c r="M62" s="3">
        <f t="shared" ca="1" si="5"/>
        <v>3.5535220267832512E-2</v>
      </c>
      <c r="N62" s="4">
        <f t="shared" ca="1" si="6"/>
        <v>0.99986420147837196</v>
      </c>
      <c r="P62" s="4" cm="1">
        <f t="array" aca="1" ref="P62" ca="1">IF(K62&lt;=J62,"Need More Agents",
  (POWER(K62,J62)/FACT(K62)*(K62/(K62-J62)))/
  (SUMPRODUCT(POWER(J62,ROW(INDIRECT("1:"&amp;K62))-1)/FACT(ROW(INDIRECT("1:"&amp;K62))-1))+
  (POWER(K62,J62)/FACT(K62)*(K62/(K62-J62)))))</f>
        <v>5.5792012497804663E-4</v>
      </c>
    </row>
    <row r="63" spans="1:16" x14ac:dyDescent="0.2">
      <c r="A63" t="s">
        <v>56</v>
      </c>
      <c r="B63" s="1">
        <v>45664</v>
      </c>
      <c r="C63" t="s">
        <v>45</v>
      </c>
      <c r="D63">
        <v>18</v>
      </c>
      <c r="E63">
        <v>18</v>
      </c>
      <c r="F63">
        <f t="shared" si="0"/>
        <v>0</v>
      </c>
      <c r="G63" s="2">
        <f t="shared" si="1"/>
        <v>0</v>
      </c>
      <c r="H63">
        <v>270</v>
      </c>
      <c r="I63">
        <v>32</v>
      </c>
      <c r="J63" s="3">
        <f t="shared" si="2"/>
        <v>5.4</v>
      </c>
      <c r="K63" s="3">
        <f t="shared" si="3"/>
        <v>9</v>
      </c>
      <c r="L63" s="4">
        <f t="shared" si="4"/>
        <v>0.60000000000000009</v>
      </c>
      <c r="M63" s="3">
        <f t="shared" ca="1" si="5"/>
        <v>0.36585954645051155</v>
      </c>
      <c r="N63" s="4">
        <f t="shared" ca="1" si="6"/>
        <v>0.99853073629648381</v>
      </c>
      <c r="P63" s="4" cm="1">
        <f t="array" aca="1" ref="P63" ca="1">IF(K63&lt;=J63,"Need More Agents",
  (POWER(K63,J63)/FACT(K63)*(K63/(K63-J63)))/
  (SUMPRODUCT(POWER(J63,ROW(INDIRECT("1:"&amp;K63))-1)/FACT(ROW(INDIRECT("1:"&amp;K63))-1))+
  (POWER(K63,J63)/FACT(K63)*(K63/(K63-J63)))))</f>
        <v>4.8781272860068201E-3</v>
      </c>
    </row>
    <row r="64" spans="1:16" x14ac:dyDescent="0.2">
      <c r="A64" t="s">
        <v>56</v>
      </c>
      <c r="B64" s="1">
        <v>45664</v>
      </c>
      <c r="C64" t="s">
        <v>46</v>
      </c>
      <c r="D64">
        <v>14</v>
      </c>
      <c r="E64">
        <v>14</v>
      </c>
      <c r="F64">
        <f t="shared" si="0"/>
        <v>0</v>
      </c>
      <c r="G64" s="2">
        <f t="shared" si="1"/>
        <v>0</v>
      </c>
      <c r="H64">
        <v>264</v>
      </c>
      <c r="I64">
        <v>27</v>
      </c>
      <c r="J64" s="3">
        <f t="shared" si="2"/>
        <v>4.1066666666666665</v>
      </c>
      <c r="K64" s="3">
        <f t="shared" si="3"/>
        <v>8</v>
      </c>
      <c r="L64" s="4">
        <f t="shared" si="4"/>
        <v>0.51333333333333331</v>
      </c>
      <c r="M64" s="3">
        <f t="shared" ca="1" si="5"/>
        <v>0.30730784035639291</v>
      </c>
      <c r="N64" s="4">
        <f t="shared" ca="1" si="6"/>
        <v>0.99879811177515432</v>
      </c>
      <c r="P64" s="4" cm="1">
        <f t="array" aca="1" ref="P64" ca="1">IF(K64&lt;=J64,"Need More Agents",
  (POWER(K64,J64)/FACT(K64)*(K64/(K64-J64)))/
  (SUMPRODUCT(POWER(J64,ROW(INDIRECT("1:"&amp;K64))-1)/FACT(ROW(INDIRECT("1:"&amp;K64))-1))+
  (POWER(K64,J64)/FACT(K64)*(K64/(K64-J64)))))</f>
        <v>4.5320146153569061E-3</v>
      </c>
    </row>
    <row r="65" spans="1:16" x14ac:dyDescent="0.2">
      <c r="A65" t="s">
        <v>56</v>
      </c>
      <c r="B65" s="1">
        <v>45664</v>
      </c>
      <c r="C65" t="s">
        <v>47</v>
      </c>
      <c r="D65">
        <v>12</v>
      </c>
      <c r="E65">
        <v>12</v>
      </c>
      <c r="F65">
        <f t="shared" si="0"/>
        <v>0</v>
      </c>
      <c r="G65" s="2">
        <f t="shared" si="1"/>
        <v>0</v>
      </c>
      <c r="H65">
        <v>270</v>
      </c>
      <c r="I65">
        <v>25</v>
      </c>
      <c r="J65" s="3">
        <f t="shared" si="2"/>
        <v>3.6</v>
      </c>
      <c r="K65" s="3">
        <f t="shared" si="3"/>
        <v>7</v>
      </c>
      <c r="L65" s="4">
        <f t="shared" si="4"/>
        <v>0.51428571428571435</v>
      </c>
      <c r="M65" s="3">
        <f t="shared" ca="1" si="5"/>
        <v>1.0406053292785904</v>
      </c>
      <c r="N65" s="4">
        <f t="shared" ca="1" si="6"/>
        <v>0.9957810849008546</v>
      </c>
      <c r="P65" s="4" cm="1">
        <f t="array" aca="1" ref="P65" ca="1">IF(K65&lt;=J65,"Need More Agents",
  (POWER(K65,J65)/FACT(K65)*(K65/(K65-J65)))/
  (SUMPRODUCT(POWER(J65,ROW(INDIRECT("1:"&amp;K65))-1)/FACT(ROW(INDIRECT("1:"&amp;K65))-1))+
  (POWER(K65,J65)/FACT(K65)*(K65/(K65-J65)))))</f>
        <v>1.3103918961285953E-2</v>
      </c>
    </row>
    <row r="66" spans="1:16" x14ac:dyDescent="0.2">
      <c r="A66" t="s">
        <v>56</v>
      </c>
      <c r="B66" s="1">
        <v>45664</v>
      </c>
      <c r="C66" t="s">
        <v>48</v>
      </c>
      <c r="D66">
        <v>20</v>
      </c>
      <c r="E66">
        <v>19</v>
      </c>
      <c r="F66">
        <f t="shared" si="0"/>
        <v>1</v>
      </c>
      <c r="G66" s="2">
        <f t="shared" si="1"/>
        <v>0.05</v>
      </c>
      <c r="H66">
        <v>270</v>
      </c>
      <c r="I66">
        <v>41</v>
      </c>
      <c r="J66" s="3">
        <f t="shared" si="2"/>
        <v>6</v>
      </c>
      <c r="K66" s="3">
        <f t="shared" si="3"/>
        <v>10</v>
      </c>
      <c r="L66" s="4">
        <f t="shared" si="4"/>
        <v>0.6</v>
      </c>
      <c r="M66" s="3">
        <f t="shared" ca="1" si="5"/>
        <v>0.12559534052078566</v>
      </c>
      <c r="N66" s="4">
        <f t="shared" ca="1" si="6"/>
        <v>0.99950953226189709</v>
      </c>
      <c r="P66" s="4" cm="1">
        <f t="array" aca="1" ref="P66" ca="1">IF(K66&lt;=J66,"Need More Agents",
  (POWER(K66,J66)/FACT(K66)*(K66/(K66-J66)))/
  (SUMPRODUCT(POWER(J66,ROW(INDIRECT("1:"&amp;K66))-1)/FACT(ROW(INDIRECT("1:"&amp;K66))-1))+
  (POWER(K66,J66)/FACT(K66)*(K66/(K66-J66)))))</f>
        <v>1.8606717114190469E-3</v>
      </c>
    </row>
    <row r="67" spans="1:16" x14ac:dyDescent="0.2">
      <c r="A67" t="s">
        <v>56</v>
      </c>
      <c r="B67" s="1">
        <v>45664</v>
      </c>
      <c r="C67" t="s">
        <v>49</v>
      </c>
      <c r="D67">
        <v>14</v>
      </c>
      <c r="E67">
        <v>14</v>
      </c>
      <c r="F67">
        <f t="shared" ref="F67:F130" si="7">D67-E67</f>
        <v>0</v>
      </c>
      <c r="G67" s="2">
        <f t="shared" ref="G67:G130" si="8">F67/D67</f>
        <v>0</v>
      </c>
      <c r="H67">
        <v>264</v>
      </c>
      <c r="I67">
        <v>27</v>
      </c>
      <c r="J67" s="3">
        <f t="shared" ref="J67:J130" si="9">D67*H67/900</f>
        <v>4.1066666666666665</v>
      </c>
      <c r="K67" s="3">
        <f t="shared" ref="K67:K130" si="10">ROUNDUP(J67+SQRT(J67)*1.5,0)</f>
        <v>8</v>
      </c>
      <c r="L67" s="4">
        <f t="shared" ref="L67:L130" si="11">J67/K67</f>
        <v>0.51333333333333331</v>
      </c>
      <c r="M67" s="3">
        <f t="shared" ref="M67:M130" ca="1" si="12">IF(K67&lt;=J67,"Need More Agents",(P67*H67)/(K67-J67))</f>
        <v>0.30730784035639291</v>
      </c>
      <c r="N67" s="4">
        <f t="shared" ref="N67:N130" ca="1" si="13">IF(K67&lt;=J67,0,1-(P67*EXP(-((K67-J67)*(90/H67)))))</f>
        <v>0.99879811177515432</v>
      </c>
      <c r="P67" s="4" cm="1">
        <f t="array" aca="1" ref="P67" ca="1">IF(K67&lt;=J67,"Need More Agents",
  (POWER(K67,J67)/FACT(K67)*(K67/(K67-J67)))/
  (SUMPRODUCT(POWER(J67,ROW(INDIRECT("1:"&amp;K67))-1)/FACT(ROW(INDIRECT("1:"&amp;K67))-1))+
  (POWER(K67,J67)/FACT(K67)*(K67/(K67-J67)))))</f>
        <v>4.5320146153569061E-3</v>
      </c>
    </row>
    <row r="68" spans="1:16" x14ac:dyDescent="0.2">
      <c r="A68" t="s">
        <v>56</v>
      </c>
      <c r="B68" s="1">
        <v>45664</v>
      </c>
      <c r="C68" t="s">
        <v>50</v>
      </c>
      <c r="D68">
        <v>11</v>
      </c>
      <c r="E68">
        <v>11</v>
      </c>
      <c r="F68">
        <f t="shared" si="7"/>
        <v>0</v>
      </c>
      <c r="G68" s="2">
        <f t="shared" si="8"/>
        <v>0</v>
      </c>
      <c r="H68">
        <v>270</v>
      </c>
      <c r="I68">
        <v>24</v>
      </c>
      <c r="J68" s="3">
        <f t="shared" si="9"/>
        <v>3.3</v>
      </c>
      <c r="K68" s="3">
        <f t="shared" si="10"/>
        <v>7</v>
      </c>
      <c r="L68" s="4">
        <f t="shared" si="11"/>
        <v>0.47142857142857142</v>
      </c>
      <c r="M68" s="3">
        <f t="shared" ca="1" si="12"/>
        <v>0.64881217474328701</v>
      </c>
      <c r="N68" s="4">
        <f t="shared" ca="1" si="13"/>
        <v>0.99740983703401687</v>
      </c>
      <c r="P68" s="4" cm="1">
        <f t="array" aca="1" ref="P68" ca="1">IF(K68&lt;=J68,"Need More Agents",
  (POWER(K68,J68)/FACT(K68)*(K68/(K68-J68)))/
  (SUMPRODUCT(POWER(J68,ROW(INDIRECT("1:"&amp;K68))-1)/FACT(ROW(INDIRECT("1:"&amp;K68))-1))+
  (POWER(K68,J68)/FACT(K68)*(K68/(K68-J68)))))</f>
        <v>8.891129802037637E-3</v>
      </c>
    </row>
    <row r="69" spans="1:16" x14ac:dyDescent="0.2">
      <c r="A69" t="s">
        <v>56</v>
      </c>
      <c r="B69" s="1">
        <v>45664</v>
      </c>
      <c r="C69" t="s">
        <v>51</v>
      </c>
      <c r="D69">
        <v>9</v>
      </c>
      <c r="E69">
        <v>9</v>
      </c>
      <c r="F69">
        <f t="shared" si="7"/>
        <v>0</v>
      </c>
      <c r="G69" s="2">
        <f t="shared" si="8"/>
        <v>0</v>
      </c>
      <c r="H69">
        <v>264</v>
      </c>
      <c r="I69">
        <v>22</v>
      </c>
      <c r="J69" s="3">
        <f t="shared" si="9"/>
        <v>2.64</v>
      </c>
      <c r="K69" s="3">
        <f t="shared" si="10"/>
        <v>6</v>
      </c>
      <c r="L69" s="4">
        <f t="shared" si="11"/>
        <v>0.44</v>
      </c>
      <c r="M69" s="3">
        <f t="shared" ca="1" si="12"/>
        <v>1.6279460847381793</v>
      </c>
      <c r="N69" s="4">
        <f t="shared" ca="1" si="13"/>
        <v>0.99340961509723169</v>
      </c>
      <c r="P69" s="4" cm="1">
        <f t="array" aca="1" ref="P69" ca="1">IF(K69&lt;=J69,"Need More Agents",
  (POWER(K69,J69)/FACT(K69)*(K69/(K69-J69)))/
  (SUMPRODUCT(POWER(J69,ROW(INDIRECT("1:"&amp;K69))-1)/FACT(ROW(INDIRECT("1:"&amp;K69))-1))+
  (POWER(K69,J69)/FACT(K69)*(K69/(K69-J69)))))</f>
        <v>2.0719313805758643E-2</v>
      </c>
    </row>
    <row r="70" spans="1:16" x14ac:dyDescent="0.2">
      <c r="A70" t="s">
        <v>56</v>
      </c>
      <c r="B70" s="1">
        <v>45664</v>
      </c>
      <c r="C70" t="s">
        <v>52</v>
      </c>
      <c r="D70">
        <v>16</v>
      </c>
      <c r="E70">
        <v>15</v>
      </c>
      <c r="F70">
        <f t="shared" si="7"/>
        <v>1</v>
      </c>
      <c r="G70" s="2">
        <f t="shared" si="8"/>
        <v>6.25E-2</v>
      </c>
      <c r="H70">
        <v>276</v>
      </c>
      <c r="I70">
        <v>45</v>
      </c>
      <c r="J70" s="3">
        <f t="shared" si="9"/>
        <v>4.9066666666666663</v>
      </c>
      <c r="K70" s="3">
        <f t="shared" si="10"/>
        <v>9</v>
      </c>
      <c r="L70" s="4">
        <f t="shared" si="11"/>
        <v>0.54518518518518511</v>
      </c>
      <c r="M70" s="3">
        <f t="shared" ca="1" si="12"/>
        <v>0.15464121123520747</v>
      </c>
      <c r="N70" s="4">
        <f t="shared" ca="1" si="13"/>
        <v>0.99939632310901272</v>
      </c>
      <c r="P70" s="4" cm="1">
        <f t="array" aca="1" ref="P70" ca="1">IF(K70&lt;=J70,"Need More Agents",
  (POWER(K70,J70)/FACT(K70)*(K70/(K70-J70)))/
  (SUMPRODUCT(POWER(J70,ROW(INDIRECT("1:"&amp;K70))-1)/FACT(ROW(INDIRECT("1:"&amp;K70))-1))+
  (POWER(K70,J70)/FACT(K70)*(K70/(K70-J70)))))</f>
        <v>2.2934711038265073E-3</v>
      </c>
    </row>
    <row r="71" spans="1:16" x14ac:dyDescent="0.2">
      <c r="A71" t="s">
        <v>56</v>
      </c>
      <c r="B71" s="1">
        <v>45664</v>
      </c>
      <c r="C71" t="s">
        <v>53</v>
      </c>
      <c r="D71">
        <v>11</v>
      </c>
      <c r="E71">
        <v>11</v>
      </c>
      <c r="F71">
        <f t="shared" si="7"/>
        <v>0</v>
      </c>
      <c r="G71" s="2">
        <f t="shared" si="8"/>
        <v>0</v>
      </c>
      <c r="H71">
        <v>270</v>
      </c>
      <c r="I71">
        <v>24</v>
      </c>
      <c r="J71" s="3">
        <f t="shared" si="9"/>
        <v>3.3</v>
      </c>
      <c r="K71" s="3">
        <f t="shared" si="10"/>
        <v>7</v>
      </c>
      <c r="L71" s="4">
        <f t="shared" si="11"/>
        <v>0.47142857142857142</v>
      </c>
      <c r="M71" s="3">
        <f t="shared" ca="1" si="12"/>
        <v>0.64881217474328701</v>
      </c>
      <c r="N71" s="4">
        <f t="shared" ca="1" si="13"/>
        <v>0.99740983703401687</v>
      </c>
      <c r="P71" s="4" cm="1">
        <f t="array" aca="1" ref="P71" ca="1">IF(K71&lt;=J71,"Need More Agents",
  (POWER(K71,J71)/FACT(K71)*(K71/(K71-J71)))/
  (SUMPRODUCT(POWER(J71,ROW(INDIRECT("1:"&amp;K71))-1)/FACT(ROW(INDIRECT("1:"&amp;K71))-1))+
  (POWER(K71,J71)/FACT(K71)*(K71/(K71-J71)))))</f>
        <v>8.891129802037637E-3</v>
      </c>
    </row>
    <row r="72" spans="1:16" x14ac:dyDescent="0.2">
      <c r="A72" t="s">
        <v>56</v>
      </c>
      <c r="B72" s="1">
        <v>45664</v>
      </c>
      <c r="C72" t="s">
        <v>54</v>
      </c>
      <c r="D72">
        <v>9</v>
      </c>
      <c r="E72">
        <v>9</v>
      </c>
      <c r="F72">
        <f t="shared" si="7"/>
        <v>0</v>
      </c>
      <c r="G72" s="2">
        <f t="shared" si="8"/>
        <v>0</v>
      </c>
      <c r="H72">
        <v>264</v>
      </c>
      <c r="I72">
        <v>22</v>
      </c>
      <c r="J72" s="3">
        <f t="shared" si="9"/>
        <v>2.64</v>
      </c>
      <c r="K72" s="3">
        <f t="shared" si="10"/>
        <v>6</v>
      </c>
      <c r="L72" s="4">
        <f t="shared" si="11"/>
        <v>0.44</v>
      </c>
      <c r="M72" s="3">
        <f t="shared" ca="1" si="12"/>
        <v>1.6279460847381793</v>
      </c>
      <c r="N72" s="4">
        <f t="shared" ca="1" si="13"/>
        <v>0.99340961509723169</v>
      </c>
      <c r="P72" s="4" cm="1">
        <f t="array" aca="1" ref="P72" ca="1">IF(K72&lt;=J72,"Need More Agents",
  (POWER(K72,J72)/FACT(K72)*(K72/(K72-J72)))/
  (SUMPRODUCT(POWER(J72,ROW(INDIRECT("1:"&amp;K72))-1)/FACT(ROW(INDIRECT("1:"&amp;K72))-1))+
  (POWER(K72,J72)/FACT(K72)*(K72/(K72-J72)))))</f>
        <v>2.0719313805758643E-2</v>
      </c>
    </row>
    <row r="73" spans="1:16" x14ac:dyDescent="0.2">
      <c r="A73" t="s">
        <v>56</v>
      </c>
      <c r="B73" s="1">
        <v>45664</v>
      </c>
      <c r="C73" t="s">
        <v>55</v>
      </c>
      <c r="D73">
        <v>7</v>
      </c>
      <c r="E73">
        <v>7</v>
      </c>
      <c r="F73">
        <f t="shared" si="7"/>
        <v>0</v>
      </c>
      <c r="G73" s="2">
        <f t="shared" si="8"/>
        <v>0</v>
      </c>
      <c r="H73">
        <v>270</v>
      </c>
      <c r="I73">
        <v>20</v>
      </c>
      <c r="J73" s="3">
        <f t="shared" si="9"/>
        <v>2.1</v>
      </c>
      <c r="K73" s="3">
        <f t="shared" si="10"/>
        <v>5</v>
      </c>
      <c r="L73" s="4">
        <f t="shared" si="11"/>
        <v>0.42000000000000004</v>
      </c>
      <c r="M73" s="3">
        <f t="shared" ca="1" si="12"/>
        <v>4.8611786754411463</v>
      </c>
      <c r="N73" s="4">
        <f t="shared" ca="1" si="13"/>
        <v>0.98014097974884984</v>
      </c>
      <c r="P73" s="4" cm="1">
        <f t="array" aca="1" ref="P73" ca="1">IF(K73&lt;=J73,"Need More Agents",
  (POWER(K73,J73)/FACT(K73)*(K73/(K73-J73)))/
  (SUMPRODUCT(POWER(J73,ROW(INDIRECT("1:"&amp;K73))-1)/FACT(ROW(INDIRECT("1:"&amp;K73))-1))+
  (POWER(K73,J73)/FACT(K73)*(K73/(K73-J73)))))</f>
        <v>5.2212659847330832E-2</v>
      </c>
    </row>
    <row r="74" spans="1:16" x14ac:dyDescent="0.2">
      <c r="A74" t="s">
        <v>57</v>
      </c>
      <c r="B74" s="1">
        <v>45665</v>
      </c>
      <c r="C74" t="s">
        <v>16</v>
      </c>
      <c r="D74">
        <v>14</v>
      </c>
      <c r="E74">
        <v>13</v>
      </c>
      <c r="F74">
        <f t="shared" si="7"/>
        <v>1</v>
      </c>
      <c r="G74" s="2">
        <f t="shared" si="8"/>
        <v>7.1428571428571425E-2</v>
      </c>
      <c r="H74">
        <v>264</v>
      </c>
      <c r="I74">
        <v>48</v>
      </c>
      <c r="J74" s="3">
        <f t="shared" si="9"/>
        <v>4.1066666666666665</v>
      </c>
      <c r="K74" s="3">
        <f t="shared" si="10"/>
        <v>8</v>
      </c>
      <c r="L74" s="4">
        <f t="shared" si="11"/>
        <v>0.51333333333333331</v>
      </c>
      <c r="M74" s="3">
        <f t="shared" ca="1" si="12"/>
        <v>0.30730784035639291</v>
      </c>
      <c r="N74" s="4">
        <f t="shared" ca="1" si="13"/>
        <v>0.99879811177515432</v>
      </c>
      <c r="P74" s="4" cm="1">
        <f t="array" aca="1" ref="P74" ca="1">IF(K74&lt;=J74,"Need More Agents",
  (POWER(K74,J74)/FACT(K74)*(K74/(K74-J74)))/
  (SUMPRODUCT(POWER(J74,ROW(INDIRECT("1:"&amp;K74))-1)/FACT(ROW(INDIRECT("1:"&amp;K74))-1))+
  (POWER(K74,J74)/FACT(K74)*(K74/(K74-J74)))))</f>
        <v>4.5320146153569061E-3</v>
      </c>
    </row>
    <row r="75" spans="1:16" x14ac:dyDescent="0.2">
      <c r="A75" t="s">
        <v>57</v>
      </c>
      <c r="B75" s="1">
        <v>45665</v>
      </c>
      <c r="C75" t="s">
        <v>18</v>
      </c>
      <c r="D75">
        <v>10</v>
      </c>
      <c r="E75">
        <v>10</v>
      </c>
      <c r="F75">
        <f t="shared" si="7"/>
        <v>0</v>
      </c>
      <c r="G75" s="2">
        <f t="shared" si="8"/>
        <v>0</v>
      </c>
      <c r="H75">
        <v>270</v>
      </c>
      <c r="I75">
        <v>24</v>
      </c>
      <c r="J75" s="3">
        <f t="shared" si="9"/>
        <v>3</v>
      </c>
      <c r="K75" s="3">
        <f t="shared" si="10"/>
        <v>6</v>
      </c>
      <c r="L75" s="4">
        <f t="shared" si="11"/>
        <v>0.5</v>
      </c>
      <c r="M75" s="3">
        <f t="shared" ca="1" si="12"/>
        <v>2.8421052631578951</v>
      </c>
      <c r="N75" s="4">
        <f t="shared" ca="1" si="13"/>
        <v>0.98838275448932289</v>
      </c>
      <c r="P75" s="4" cm="1">
        <f t="array" aca="1" ref="P75" ca="1">IF(K75&lt;=J75,"Need More Agents",
  (POWER(K75,J75)/FACT(K75)*(K75/(K75-J75)))/
  (SUMPRODUCT(POWER(J75,ROW(INDIRECT("1:"&amp;K75))-1)/FACT(ROW(INDIRECT("1:"&amp;K75))-1))+
  (POWER(K75,J75)/FACT(K75)*(K75/(K75-J75)))))</f>
        <v>3.1578947368421054E-2</v>
      </c>
    </row>
    <row r="76" spans="1:16" x14ac:dyDescent="0.2">
      <c r="A76" t="s">
        <v>57</v>
      </c>
      <c r="B76" s="1">
        <v>45665</v>
      </c>
      <c r="C76" t="s">
        <v>20</v>
      </c>
      <c r="D76">
        <v>8</v>
      </c>
      <c r="E76">
        <v>8</v>
      </c>
      <c r="F76">
        <f t="shared" si="7"/>
        <v>0</v>
      </c>
      <c r="G76" s="2">
        <f t="shared" si="8"/>
        <v>0</v>
      </c>
      <c r="H76">
        <v>264</v>
      </c>
      <c r="I76">
        <v>21</v>
      </c>
      <c r="J76" s="3">
        <f t="shared" si="9"/>
        <v>2.3466666666666667</v>
      </c>
      <c r="K76" s="3">
        <f t="shared" si="10"/>
        <v>5</v>
      </c>
      <c r="L76" s="4">
        <f t="shared" si="11"/>
        <v>0.46933333333333332</v>
      </c>
      <c r="M76" s="3">
        <f t="shared" ca="1" si="12"/>
        <v>6.6883283171517789</v>
      </c>
      <c r="N76" s="4">
        <f t="shared" ca="1" si="13"/>
        <v>0.97279389497571278</v>
      </c>
      <c r="P76" s="4" cm="1">
        <f t="array" aca="1" ref="P76" ca="1">IF(K76&lt;=J76,"Need More Agents",
  (POWER(K76,J76)/FACT(K76)*(K76/(K76-J76)))/
  (SUMPRODUCT(POWER(J76,ROW(INDIRECT("1:"&amp;K76))-1)/FACT(ROW(INDIRECT("1:"&amp;K76))-1))+
  (POWER(K76,J76)/FACT(K76)*(K76/(K76-J76)))))</f>
        <v>6.7221077530969897E-2</v>
      </c>
    </row>
    <row r="77" spans="1:16" x14ac:dyDescent="0.2">
      <c r="A77" t="s">
        <v>57</v>
      </c>
      <c r="B77" s="1">
        <v>45665</v>
      </c>
      <c r="C77" t="s">
        <v>22</v>
      </c>
      <c r="D77">
        <v>7</v>
      </c>
      <c r="E77">
        <v>7</v>
      </c>
      <c r="F77">
        <f t="shared" si="7"/>
        <v>0</v>
      </c>
      <c r="G77" s="2">
        <f t="shared" si="8"/>
        <v>0</v>
      </c>
      <c r="H77">
        <v>276</v>
      </c>
      <c r="I77">
        <v>20</v>
      </c>
      <c r="J77" s="3">
        <f t="shared" si="9"/>
        <v>2.1466666666666665</v>
      </c>
      <c r="K77" s="3">
        <f t="shared" si="10"/>
        <v>5</v>
      </c>
      <c r="L77" s="4">
        <f t="shared" si="11"/>
        <v>0.42933333333333329</v>
      </c>
      <c r="M77" s="3">
        <f t="shared" ca="1" si="12"/>
        <v>5.2938317630096057</v>
      </c>
      <c r="N77" s="4">
        <f t="shared" ca="1" si="13"/>
        <v>0.97841605272593513</v>
      </c>
      <c r="P77" s="4" cm="1">
        <f t="array" aca="1" ref="P77" ca="1">IF(K77&lt;=J77,"Need More Agents",
  (POWER(K77,J77)/FACT(K77)*(K77/(K77-J77)))/
  (SUMPRODUCT(POWER(J77,ROW(INDIRECT("1:"&amp;K77))-1)/FACT(ROW(INDIRECT("1:"&amp;K77))-1))+
  (POWER(K77,J77)/FACT(K77)*(K77/(K77-J77)))))</f>
        <v>5.4728502284253897E-2</v>
      </c>
    </row>
    <row r="78" spans="1:16" x14ac:dyDescent="0.2">
      <c r="A78" t="s">
        <v>57</v>
      </c>
      <c r="B78" s="1">
        <v>45665</v>
      </c>
      <c r="C78" t="s">
        <v>24</v>
      </c>
      <c r="D78">
        <v>21</v>
      </c>
      <c r="E78">
        <v>20</v>
      </c>
      <c r="F78">
        <f t="shared" si="7"/>
        <v>1</v>
      </c>
      <c r="G78" s="2">
        <f t="shared" si="8"/>
        <v>4.7619047619047616E-2</v>
      </c>
      <c r="H78">
        <v>270</v>
      </c>
      <c r="I78">
        <v>42</v>
      </c>
      <c r="J78" s="3">
        <f t="shared" si="9"/>
        <v>6.3</v>
      </c>
      <c r="K78" s="3">
        <f t="shared" si="10"/>
        <v>11</v>
      </c>
      <c r="L78" s="4">
        <f t="shared" si="11"/>
        <v>0.57272727272727275</v>
      </c>
      <c r="M78" s="3">
        <f t="shared" ca="1" si="12"/>
        <v>2.382868798793155E-2</v>
      </c>
      <c r="N78" s="4">
        <f t="shared" ca="1" si="13"/>
        <v>0.99991341562305769</v>
      </c>
      <c r="P78" s="4" cm="1">
        <f t="array" aca="1" ref="P78" ca="1">IF(K78&lt;=J78,"Need More Agents",
  (POWER(K78,J78)/FACT(K78)*(K78/(K78-J78)))/
  (SUMPRODUCT(POWER(J78,ROW(INDIRECT("1:"&amp;K78))-1)/FACT(ROW(INDIRECT("1:"&amp;K78))-1))+
  (POWER(K78,J78)/FACT(K78)*(K78/(K78-J78)))))</f>
        <v>4.1479567978991959E-4</v>
      </c>
    </row>
    <row r="79" spans="1:16" x14ac:dyDescent="0.2">
      <c r="A79" t="s">
        <v>57</v>
      </c>
      <c r="B79" s="1">
        <v>45665</v>
      </c>
      <c r="C79" t="s">
        <v>25</v>
      </c>
      <c r="D79">
        <v>15</v>
      </c>
      <c r="E79">
        <v>15</v>
      </c>
      <c r="F79">
        <f t="shared" si="7"/>
        <v>0</v>
      </c>
      <c r="G79" s="2">
        <f t="shared" si="8"/>
        <v>0</v>
      </c>
      <c r="H79">
        <v>264</v>
      </c>
      <c r="I79">
        <v>28</v>
      </c>
      <c r="J79" s="3">
        <f t="shared" si="9"/>
        <v>4.4000000000000004</v>
      </c>
      <c r="K79" s="3">
        <f t="shared" si="10"/>
        <v>8</v>
      </c>
      <c r="L79" s="4">
        <f t="shared" si="11"/>
        <v>0.55000000000000004</v>
      </c>
      <c r="M79" s="3">
        <f t="shared" ca="1" si="12"/>
        <v>0.50329175795908876</v>
      </c>
      <c r="N79" s="4">
        <f t="shared" ca="1" si="13"/>
        <v>0.99798849730401828</v>
      </c>
      <c r="P79" s="4" cm="1">
        <f t="array" aca="1" ref="P79" ca="1">IF(K79&lt;=J79,"Need More Agents",
  (POWER(K79,J79)/FACT(K79)*(K79/(K79-J79)))/
  (SUMPRODUCT(POWER(J79,ROW(INDIRECT("1:"&amp;K79))-1)/FACT(ROW(INDIRECT("1:"&amp;K79))-1))+
  (POWER(K79,J79)/FACT(K79)*(K79/(K79-J79)))))</f>
        <v>6.863069426714846E-3</v>
      </c>
    </row>
    <row r="80" spans="1:16" x14ac:dyDescent="0.2">
      <c r="A80" t="s">
        <v>57</v>
      </c>
      <c r="B80" s="1">
        <v>45665</v>
      </c>
      <c r="C80" t="s">
        <v>26</v>
      </c>
      <c r="D80">
        <v>12</v>
      </c>
      <c r="E80">
        <v>12</v>
      </c>
      <c r="F80">
        <f t="shared" si="7"/>
        <v>0</v>
      </c>
      <c r="G80" s="2">
        <f t="shared" si="8"/>
        <v>0</v>
      </c>
      <c r="H80">
        <v>270</v>
      </c>
      <c r="I80">
        <v>25</v>
      </c>
      <c r="J80" s="3">
        <f t="shared" si="9"/>
        <v>3.6</v>
      </c>
      <c r="K80" s="3">
        <f t="shared" si="10"/>
        <v>7</v>
      </c>
      <c r="L80" s="4">
        <f t="shared" si="11"/>
        <v>0.51428571428571435</v>
      </c>
      <c r="M80" s="3">
        <f t="shared" ca="1" si="12"/>
        <v>1.0406053292785904</v>
      </c>
      <c r="N80" s="4">
        <f t="shared" ca="1" si="13"/>
        <v>0.9957810849008546</v>
      </c>
      <c r="P80" s="4" cm="1">
        <f t="array" aca="1" ref="P80" ca="1">IF(K80&lt;=J80,"Need More Agents",
  (POWER(K80,J80)/FACT(K80)*(K80/(K80-J80)))/
  (SUMPRODUCT(POWER(J80,ROW(INDIRECT("1:"&amp;K80))-1)/FACT(ROW(INDIRECT("1:"&amp;K80))-1))+
  (POWER(K80,J80)/FACT(K80)*(K80/(K80-J80)))))</f>
        <v>1.3103918961285953E-2</v>
      </c>
    </row>
    <row r="81" spans="1:16" x14ac:dyDescent="0.2">
      <c r="A81" t="s">
        <v>57</v>
      </c>
      <c r="B81" s="1">
        <v>45665</v>
      </c>
      <c r="C81" t="s">
        <v>27</v>
      </c>
      <c r="D81">
        <v>10</v>
      </c>
      <c r="E81">
        <v>10</v>
      </c>
      <c r="F81">
        <f t="shared" si="7"/>
        <v>0</v>
      </c>
      <c r="G81" s="2">
        <f t="shared" si="8"/>
        <v>0</v>
      </c>
      <c r="H81">
        <v>264</v>
      </c>
      <c r="I81">
        <v>23</v>
      </c>
      <c r="J81" s="3">
        <f t="shared" si="9"/>
        <v>2.9333333333333331</v>
      </c>
      <c r="K81" s="3">
        <f t="shared" si="10"/>
        <v>6</v>
      </c>
      <c r="L81" s="4">
        <f t="shared" si="11"/>
        <v>0.48888888888888887</v>
      </c>
      <c r="M81" s="3">
        <f t="shared" ca="1" si="12"/>
        <v>2.5109704880973625</v>
      </c>
      <c r="N81" s="4">
        <f t="shared" ca="1" si="13"/>
        <v>0.98974657134244404</v>
      </c>
      <c r="P81" s="4" cm="1">
        <f t="array" aca="1" ref="P81" ca="1">IF(K81&lt;=J81,"Need More Agents",
  (POWER(K81,J81)/FACT(K81)*(K81/(K81-J81)))/
  (SUMPRODUCT(POWER(J81,ROW(INDIRECT("1:"&amp;K81))-1)/FACT(ROW(INDIRECT("1:"&amp;K81))-1))+
  (POWER(K81,J81)/FACT(K81)*(K81/(K81-J81)))))</f>
        <v>2.9167839003151182E-2</v>
      </c>
    </row>
    <row r="82" spans="1:16" x14ac:dyDescent="0.2">
      <c r="A82" t="s">
        <v>57</v>
      </c>
      <c r="B82" s="1">
        <v>45665</v>
      </c>
      <c r="C82" t="s">
        <v>28</v>
      </c>
      <c r="D82">
        <v>27</v>
      </c>
      <c r="E82">
        <v>26</v>
      </c>
      <c r="F82">
        <f t="shared" si="7"/>
        <v>1</v>
      </c>
      <c r="G82" s="2">
        <f t="shared" si="8"/>
        <v>3.7037037037037035E-2</v>
      </c>
      <c r="H82">
        <v>276</v>
      </c>
      <c r="I82">
        <v>43</v>
      </c>
      <c r="J82" s="3">
        <f t="shared" si="9"/>
        <v>8.2799999999999994</v>
      </c>
      <c r="K82" s="3">
        <f t="shared" si="10"/>
        <v>13</v>
      </c>
      <c r="L82" s="4">
        <f t="shared" si="11"/>
        <v>0.63692307692307693</v>
      </c>
      <c r="M82" s="3">
        <f t="shared" ca="1" si="12"/>
        <v>1.1897830013631931E-2</v>
      </c>
      <c r="N82" s="4">
        <f t="shared" ca="1" si="13"/>
        <v>0.99995634190097393</v>
      </c>
      <c r="P82" s="4" cm="1">
        <f t="array" aca="1" ref="P82" ca="1">IF(K82&lt;=J82,"Need More Agents",
  (POWER(K82,J82)/FACT(K82)*(K82/(K82-J82)))/
  (SUMPRODUCT(POWER(J82,ROW(INDIRECT("1:"&amp;K82))-1)/FACT(ROW(INDIRECT("1:"&amp;K82))-1))+
  (POWER(K82,J82)/FACT(K82)*(K82/(K82-J82)))))</f>
        <v>2.0347013646500987E-4</v>
      </c>
    </row>
    <row r="83" spans="1:16" x14ac:dyDescent="0.2">
      <c r="A83" t="s">
        <v>57</v>
      </c>
      <c r="B83" s="1">
        <v>45665</v>
      </c>
      <c r="C83" t="s">
        <v>29</v>
      </c>
      <c r="D83">
        <v>19</v>
      </c>
      <c r="E83">
        <v>19</v>
      </c>
      <c r="F83">
        <f t="shared" si="7"/>
        <v>0</v>
      </c>
      <c r="G83" s="2">
        <f t="shared" si="8"/>
        <v>0</v>
      </c>
      <c r="H83">
        <v>270</v>
      </c>
      <c r="I83">
        <v>32</v>
      </c>
      <c r="J83" s="3">
        <f t="shared" si="9"/>
        <v>5.7</v>
      </c>
      <c r="K83" s="3">
        <f t="shared" si="10"/>
        <v>10</v>
      </c>
      <c r="L83" s="4">
        <f t="shared" si="11"/>
        <v>0.57000000000000006</v>
      </c>
      <c r="M83" s="3">
        <f t="shared" ca="1" si="12"/>
        <v>7.2075902085726964E-2</v>
      </c>
      <c r="N83" s="4">
        <f t="shared" ca="1" si="13"/>
        <v>0.99972621728831623</v>
      </c>
      <c r="P83" s="4" cm="1">
        <f t="array" aca="1" ref="P83" ca="1">IF(K83&lt;=J83,"Need More Agents",
  (POWER(K83,J83)/FACT(K83)*(K83/(K83-J83)))/
  (SUMPRODUCT(POWER(J83,ROW(INDIRECT("1:"&amp;K83))-1)/FACT(ROW(INDIRECT("1:"&amp;K83))-1))+
  (POWER(K83,J83)/FACT(K83)*(K83/(K83-J83)))))</f>
        <v>1.1478754776615776E-3</v>
      </c>
    </row>
    <row r="84" spans="1:16" x14ac:dyDescent="0.2">
      <c r="A84" t="s">
        <v>57</v>
      </c>
      <c r="B84" s="1">
        <v>45665</v>
      </c>
      <c r="C84" t="s">
        <v>30</v>
      </c>
      <c r="D84">
        <v>15</v>
      </c>
      <c r="E84">
        <v>15</v>
      </c>
      <c r="F84">
        <f t="shared" si="7"/>
        <v>0</v>
      </c>
      <c r="G84" s="2">
        <f t="shared" si="8"/>
        <v>0</v>
      </c>
      <c r="H84">
        <v>264</v>
      </c>
      <c r="I84">
        <v>28</v>
      </c>
      <c r="J84" s="3">
        <f t="shared" si="9"/>
        <v>4.4000000000000004</v>
      </c>
      <c r="K84" s="3">
        <f t="shared" si="10"/>
        <v>8</v>
      </c>
      <c r="L84" s="4">
        <f t="shared" si="11"/>
        <v>0.55000000000000004</v>
      </c>
      <c r="M84" s="3">
        <f t="shared" ca="1" si="12"/>
        <v>0.50329175795908876</v>
      </c>
      <c r="N84" s="4">
        <f t="shared" ca="1" si="13"/>
        <v>0.99798849730401828</v>
      </c>
      <c r="P84" s="4" cm="1">
        <f t="array" aca="1" ref="P84" ca="1">IF(K84&lt;=J84,"Need More Agents",
  (POWER(K84,J84)/FACT(K84)*(K84/(K84-J84)))/
  (SUMPRODUCT(POWER(J84,ROW(INDIRECT("1:"&amp;K84))-1)/FACT(ROW(INDIRECT("1:"&amp;K84))-1))+
  (POWER(K84,J84)/FACT(K84)*(K84/(K84-J84)))))</f>
        <v>6.863069426714846E-3</v>
      </c>
    </row>
    <row r="85" spans="1:16" x14ac:dyDescent="0.2">
      <c r="A85" t="s">
        <v>57</v>
      </c>
      <c r="B85" s="1">
        <v>45665</v>
      </c>
      <c r="C85" t="s">
        <v>31</v>
      </c>
      <c r="D85">
        <v>12</v>
      </c>
      <c r="E85">
        <v>12</v>
      </c>
      <c r="F85">
        <f t="shared" si="7"/>
        <v>0</v>
      </c>
      <c r="G85" s="2">
        <f t="shared" si="8"/>
        <v>0</v>
      </c>
      <c r="H85">
        <v>270</v>
      </c>
      <c r="I85">
        <v>25</v>
      </c>
      <c r="J85" s="3">
        <f t="shared" si="9"/>
        <v>3.6</v>
      </c>
      <c r="K85" s="3">
        <f t="shared" si="10"/>
        <v>7</v>
      </c>
      <c r="L85" s="4">
        <f t="shared" si="11"/>
        <v>0.51428571428571435</v>
      </c>
      <c r="M85" s="3">
        <f t="shared" ca="1" si="12"/>
        <v>1.0406053292785904</v>
      </c>
      <c r="N85" s="4">
        <f t="shared" ca="1" si="13"/>
        <v>0.9957810849008546</v>
      </c>
      <c r="P85" s="4" cm="1">
        <f t="array" aca="1" ref="P85" ca="1">IF(K85&lt;=J85,"Need More Agents",
  (POWER(K85,J85)/FACT(K85)*(K85/(K85-J85)))/
  (SUMPRODUCT(POWER(J85,ROW(INDIRECT("1:"&amp;K85))-1)/FACT(ROW(INDIRECT("1:"&amp;K85))-1))+
  (POWER(K85,J85)/FACT(K85)*(K85/(K85-J85)))))</f>
        <v>1.3103918961285953E-2</v>
      </c>
    </row>
    <row r="86" spans="1:16" x14ac:dyDescent="0.2">
      <c r="A86" t="s">
        <v>57</v>
      </c>
      <c r="B86" s="1">
        <v>45665</v>
      </c>
      <c r="C86" t="s">
        <v>32</v>
      </c>
      <c r="D86">
        <v>25</v>
      </c>
      <c r="E86">
        <v>24</v>
      </c>
      <c r="F86">
        <f t="shared" si="7"/>
        <v>1</v>
      </c>
      <c r="G86" s="2">
        <f t="shared" si="8"/>
        <v>0.04</v>
      </c>
      <c r="H86">
        <v>276</v>
      </c>
      <c r="I86">
        <v>42</v>
      </c>
      <c r="J86" s="3">
        <f t="shared" si="9"/>
        <v>7.666666666666667</v>
      </c>
      <c r="K86" s="3">
        <f t="shared" si="10"/>
        <v>12</v>
      </c>
      <c r="L86" s="4">
        <f t="shared" si="11"/>
        <v>0.63888888888888895</v>
      </c>
      <c r="M86" s="3">
        <f t="shared" ca="1" si="12"/>
        <v>3.5535220267832512E-2</v>
      </c>
      <c r="N86" s="4">
        <f t="shared" ca="1" si="13"/>
        <v>0.99986420147837196</v>
      </c>
      <c r="P86" s="4" cm="1">
        <f t="array" aca="1" ref="P86" ca="1">IF(K86&lt;=J86,"Need More Agents",
  (POWER(K86,J86)/FACT(K86)*(K86/(K86-J86)))/
  (SUMPRODUCT(POWER(J86,ROW(INDIRECT("1:"&amp;K86))-1)/FACT(ROW(INDIRECT("1:"&amp;K86))-1))+
  (POWER(K86,J86)/FACT(K86)*(K86/(K86-J86)))))</f>
        <v>5.5792012497804663E-4</v>
      </c>
    </row>
    <row r="87" spans="1:16" x14ac:dyDescent="0.2">
      <c r="A87" t="s">
        <v>57</v>
      </c>
      <c r="B87" s="1">
        <v>45665</v>
      </c>
      <c r="C87" t="s">
        <v>33</v>
      </c>
      <c r="D87">
        <v>18</v>
      </c>
      <c r="E87">
        <v>18</v>
      </c>
      <c r="F87">
        <f t="shared" si="7"/>
        <v>0</v>
      </c>
      <c r="G87" s="2">
        <f t="shared" si="8"/>
        <v>0</v>
      </c>
      <c r="H87">
        <v>270</v>
      </c>
      <c r="I87">
        <v>32</v>
      </c>
      <c r="J87" s="3">
        <f t="shared" si="9"/>
        <v>5.4</v>
      </c>
      <c r="K87" s="3">
        <f t="shared" si="10"/>
        <v>9</v>
      </c>
      <c r="L87" s="4">
        <f t="shared" si="11"/>
        <v>0.60000000000000009</v>
      </c>
      <c r="M87" s="3">
        <f t="shared" ca="1" si="12"/>
        <v>0.36585954645051155</v>
      </c>
      <c r="N87" s="4">
        <f t="shared" ca="1" si="13"/>
        <v>0.99853073629648381</v>
      </c>
      <c r="P87" s="4" cm="1">
        <f t="array" aca="1" ref="P87" ca="1">IF(K87&lt;=J87,"Need More Agents",
  (POWER(K87,J87)/FACT(K87)*(K87/(K87-J87)))/
  (SUMPRODUCT(POWER(J87,ROW(INDIRECT("1:"&amp;K87))-1)/FACT(ROW(INDIRECT("1:"&amp;K87))-1))+
  (POWER(K87,J87)/FACT(K87)*(K87/(K87-J87)))))</f>
        <v>4.8781272860068201E-3</v>
      </c>
    </row>
    <row r="88" spans="1:16" x14ac:dyDescent="0.2">
      <c r="A88" t="s">
        <v>57</v>
      </c>
      <c r="B88" s="1">
        <v>45665</v>
      </c>
      <c r="C88" t="s">
        <v>34</v>
      </c>
      <c r="D88">
        <v>14</v>
      </c>
      <c r="E88">
        <v>14</v>
      </c>
      <c r="F88">
        <f t="shared" si="7"/>
        <v>0</v>
      </c>
      <c r="G88" s="2">
        <f t="shared" si="8"/>
        <v>0</v>
      </c>
      <c r="H88">
        <v>264</v>
      </c>
      <c r="I88">
        <v>27</v>
      </c>
      <c r="J88" s="3">
        <f t="shared" si="9"/>
        <v>4.1066666666666665</v>
      </c>
      <c r="K88" s="3">
        <f t="shared" si="10"/>
        <v>8</v>
      </c>
      <c r="L88" s="4">
        <f t="shared" si="11"/>
        <v>0.51333333333333331</v>
      </c>
      <c r="M88" s="3">
        <f t="shared" ca="1" si="12"/>
        <v>0.30730784035639291</v>
      </c>
      <c r="N88" s="4">
        <f t="shared" ca="1" si="13"/>
        <v>0.99879811177515432</v>
      </c>
      <c r="P88" s="4" cm="1">
        <f t="array" aca="1" ref="P88" ca="1">IF(K88&lt;=J88,"Need More Agents",
  (POWER(K88,J88)/FACT(K88)*(K88/(K88-J88)))/
  (SUMPRODUCT(POWER(J88,ROW(INDIRECT("1:"&amp;K88))-1)/FACT(ROW(INDIRECT("1:"&amp;K88))-1))+
  (POWER(K88,J88)/FACT(K88)*(K88/(K88-J88)))))</f>
        <v>4.5320146153569061E-3</v>
      </c>
    </row>
    <row r="89" spans="1:16" x14ac:dyDescent="0.2">
      <c r="A89" t="s">
        <v>57</v>
      </c>
      <c r="B89" s="1">
        <v>45665</v>
      </c>
      <c r="C89" t="s">
        <v>35</v>
      </c>
      <c r="D89">
        <v>11</v>
      </c>
      <c r="E89">
        <v>11</v>
      </c>
      <c r="F89">
        <f t="shared" si="7"/>
        <v>0</v>
      </c>
      <c r="G89" s="2">
        <f t="shared" si="8"/>
        <v>0</v>
      </c>
      <c r="H89">
        <v>270</v>
      </c>
      <c r="I89">
        <v>24</v>
      </c>
      <c r="J89" s="3">
        <f t="shared" si="9"/>
        <v>3.3</v>
      </c>
      <c r="K89" s="3">
        <f t="shared" si="10"/>
        <v>7</v>
      </c>
      <c r="L89" s="4">
        <f t="shared" si="11"/>
        <v>0.47142857142857142</v>
      </c>
      <c r="M89" s="3">
        <f t="shared" ca="1" si="12"/>
        <v>0.64881217474328701</v>
      </c>
      <c r="N89" s="4">
        <f t="shared" ca="1" si="13"/>
        <v>0.99740983703401687</v>
      </c>
      <c r="P89" s="4" cm="1">
        <f t="array" aca="1" ref="P89" ca="1">IF(K89&lt;=J89,"Need More Agents",
  (POWER(K89,J89)/FACT(K89)*(K89/(K89-J89)))/
  (SUMPRODUCT(POWER(J89,ROW(INDIRECT("1:"&amp;K89))-1)/FACT(ROW(INDIRECT("1:"&amp;K89))-1))+
  (POWER(K89,J89)/FACT(K89)*(K89/(K89-J89)))))</f>
        <v>8.891129802037637E-3</v>
      </c>
    </row>
    <row r="90" spans="1:16" x14ac:dyDescent="0.2">
      <c r="A90" t="s">
        <v>57</v>
      </c>
      <c r="B90" s="1">
        <v>45665</v>
      </c>
      <c r="C90" t="s">
        <v>36</v>
      </c>
      <c r="D90">
        <v>17</v>
      </c>
      <c r="E90">
        <v>16</v>
      </c>
      <c r="F90">
        <f t="shared" si="7"/>
        <v>1</v>
      </c>
      <c r="G90" s="2">
        <f t="shared" si="8"/>
        <v>5.8823529411764705E-2</v>
      </c>
      <c r="H90">
        <v>264</v>
      </c>
      <c r="I90">
        <v>39</v>
      </c>
      <c r="J90" s="3">
        <f t="shared" si="9"/>
        <v>4.9866666666666664</v>
      </c>
      <c r="K90" s="3">
        <f t="shared" si="10"/>
        <v>9</v>
      </c>
      <c r="L90" s="4">
        <f t="shared" si="11"/>
        <v>0.55407407407407405</v>
      </c>
      <c r="M90" s="3">
        <f t="shared" ca="1" si="12"/>
        <v>0.17020768142493958</v>
      </c>
      <c r="N90" s="4">
        <f t="shared" ca="1" si="13"/>
        <v>0.99934130154129219</v>
      </c>
      <c r="P90" s="4" cm="1">
        <f t="array" aca="1" ref="P90" ca="1">IF(K90&lt;=J90,"Need More Agents",
  (POWER(K90,J90)/FACT(K90)*(K90/(K90-J90)))/
  (SUMPRODUCT(POWER(J90,ROW(INDIRECT("1:"&amp;K90))-1)/FACT(ROW(INDIRECT("1:"&amp;K90))-1))+
  (POWER(K90,J90)/FACT(K90)*(K90/(K90-J90)))))</f>
        <v>2.5875006115609507E-3</v>
      </c>
    </row>
    <row r="91" spans="1:16" x14ac:dyDescent="0.2">
      <c r="A91" t="s">
        <v>57</v>
      </c>
      <c r="B91" s="1">
        <v>45665</v>
      </c>
      <c r="C91" t="s">
        <v>37</v>
      </c>
      <c r="D91">
        <v>12</v>
      </c>
      <c r="E91">
        <v>12</v>
      </c>
      <c r="F91">
        <f t="shared" si="7"/>
        <v>0</v>
      </c>
      <c r="G91" s="2">
        <f t="shared" si="8"/>
        <v>0</v>
      </c>
      <c r="H91">
        <v>270</v>
      </c>
      <c r="I91">
        <v>25</v>
      </c>
      <c r="J91" s="3">
        <f t="shared" si="9"/>
        <v>3.6</v>
      </c>
      <c r="K91" s="3">
        <f t="shared" si="10"/>
        <v>7</v>
      </c>
      <c r="L91" s="4">
        <f t="shared" si="11"/>
        <v>0.51428571428571435</v>
      </c>
      <c r="M91" s="3">
        <f t="shared" ca="1" si="12"/>
        <v>1.0406053292785904</v>
      </c>
      <c r="N91" s="4">
        <f t="shared" ca="1" si="13"/>
        <v>0.9957810849008546</v>
      </c>
      <c r="P91" s="4" cm="1">
        <f t="array" aca="1" ref="P91" ca="1">IF(K91&lt;=J91,"Need More Agents",
  (POWER(K91,J91)/FACT(K91)*(K91/(K91-J91)))/
  (SUMPRODUCT(POWER(J91,ROW(INDIRECT("1:"&amp;K91))-1)/FACT(ROW(INDIRECT("1:"&amp;K91))-1))+
  (POWER(K91,J91)/FACT(K91)*(K91/(K91-J91)))))</f>
        <v>1.3103918961285953E-2</v>
      </c>
    </row>
    <row r="92" spans="1:16" x14ac:dyDescent="0.2">
      <c r="A92" t="s">
        <v>57</v>
      </c>
      <c r="B92" s="1">
        <v>45665</v>
      </c>
      <c r="C92" t="s">
        <v>38</v>
      </c>
      <c r="D92">
        <v>9</v>
      </c>
      <c r="E92">
        <v>9</v>
      </c>
      <c r="F92">
        <f t="shared" si="7"/>
        <v>0</v>
      </c>
      <c r="G92" s="2">
        <f t="shared" si="8"/>
        <v>0</v>
      </c>
      <c r="H92">
        <v>264</v>
      </c>
      <c r="I92">
        <v>22</v>
      </c>
      <c r="J92" s="3">
        <f t="shared" si="9"/>
        <v>2.64</v>
      </c>
      <c r="K92" s="3">
        <f t="shared" si="10"/>
        <v>6</v>
      </c>
      <c r="L92" s="4">
        <f t="shared" si="11"/>
        <v>0.44</v>
      </c>
      <c r="M92" s="3">
        <f t="shared" ca="1" si="12"/>
        <v>1.6279460847381793</v>
      </c>
      <c r="N92" s="4">
        <f t="shared" ca="1" si="13"/>
        <v>0.99340961509723169</v>
      </c>
      <c r="P92" s="4" cm="1">
        <f t="array" aca="1" ref="P92" ca="1">IF(K92&lt;=J92,"Need More Agents",
  (POWER(K92,J92)/FACT(K92)*(K92/(K92-J92)))/
  (SUMPRODUCT(POWER(J92,ROW(INDIRECT("1:"&amp;K92))-1)/FACT(ROW(INDIRECT("1:"&amp;K92))-1))+
  (POWER(K92,J92)/FACT(K92)*(K92/(K92-J92)))))</f>
        <v>2.0719313805758643E-2</v>
      </c>
    </row>
    <row r="93" spans="1:16" x14ac:dyDescent="0.2">
      <c r="A93" t="s">
        <v>57</v>
      </c>
      <c r="B93" s="1">
        <v>45665</v>
      </c>
      <c r="C93" t="s">
        <v>39</v>
      </c>
      <c r="D93">
        <v>8</v>
      </c>
      <c r="E93">
        <v>8</v>
      </c>
      <c r="F93">
        <f t="shared" si="7"/>
        <v>0</v>
      </c>
      <c r="G93" s="2">
        <f t="shared" si="8"/>
        <v>0</v>
      </c>
      <c r="H93">
        <v>270</v>
      </c>
      <c r="I93">
        <v>21</v>
      </c>
      <c r="J93" s="3">
        <f t="shared" si="9"/>
        <v>2.4</v>
      </c>
      <c r="K93" s="3">
        <f t="shared" si="10"/>
        <v>5</v>
      </c>
      <c r="L93" s="4">
        <f t="shared" si="11"/>
        <v>0.48</v>
      </c>
      <c r="M93" s="3">
        <f t="shared" ca="1" si="12"/>
        <v>7.3819530344803725</v>
      </c>
      <c r="N93" s="4">
        <f t="shared" ca="1" si="13"/>
        <v>0.97011919381178136</v>
      </c>
      <c r="P93" s="4" cm="1">
        <f t="array" aca="1" ref="P93" ca="1">IF(K93&lt;=J93,"Need More Agents",
  (POWER(K93,J93)/FACT(K93)*(K93/(K93-J93)))/
  (SUMPRODUCT(POWER(J93,ROW(INDIRECT("1:"&amp;K93))-1)/FACT(ROW(INDIRECT("1:"&amp;K93))-1))+
  (POWER(K93,J93)/FACT(K93)*(K93/(K93-J93)))))</f>
        <v>7.108547366536655E-2</v>
      </c>
    </row>
    <row r="94" spans="1:16" x14ac:dyDescent="0.2">
      <c r="A94" t="s">
        <v>57</v>
      </c>
      <c r="B94" s="1">
        <v>45665</v>
      </c>
      <c r="C94" t="s">
        <v>40</v>
      </c>
      <c r="D94">
        <v>20</v>
      </c>
      <c r="E94">
        <v>19</v>
      </c>
      <c r="F94">
        <f t="shared" si="7"/>
        <v>1</v>
      </c>
      <c r="G94" s="2">
        <f t="shared" si="8"/>
        <v>0.05</v>
      </c>
      <c r="H94">
        <v>276</v>
      </c>
      <c r="I94">
        <v>41</v>
      </c>
      <c r="J94" s="3">
        <f t="shared" si="9"/>
        <v>6.1333333333333337</v>
      </c>
      <c r="K94" s="3">
        <f t="shared" si="10"/>
        <v>10</v>
      </c>
      <c r="L94" s="4">
        <f t="shared" si="11"/>
        <v>0.6133333333333334</v>
      </c>
      <c r="M94" s="3">
        <f t="shared" ca="1" si="12"/>
        <v>0.16508808545219589</v>
      </c>
      <c r="N94" s="4">
        <f t="shared" ca="1" si="13"/>
        <v>0.99934452717845523</v>
      </c>
      <c r="P94" s="4" cm="1">
        <f t="array" aca="1" ref="P94" ca="1">IF(K94&lt;=J94,"Need More Agents",
  (POWER(K94,J94)/FACT(K94)*(K94/(K94-J94)))/
  (SUMPRODUCT(POWER(J94,ROW(INDIRECT("1:"&amp;K94))-1)/FACT(ROW(INDIRECT("1:"&amp;K94))-1))+
  (POWER(K94,J94)/FACT(K94)*(K94/(K94-J94)))))</f>
        <v>2.312828250296464E-3</v>
      </c>
    </row>
    <row r="95" spans="1:16" x14ac:dyDescent="0.2">
      <c r="A95" t="s">
        <v>57</v>
      </c>
      <c r="B95" s="1">
        <v>45665</v>
      </c>
      <c r="C95" t="s">
        <v>41</v>
      </c>
      <c r="D95">
        <v>14</v>
      </c>
      <c r="E95">
        <v>14</v>
      </c>
      <c r="F95">
        <f t="shared" si="7"/>
        <v>0</v>
      </c>
      <c r="G95" s="2">
        <f t="shared" si="8"/>
        <v>0</v>
      </c>
      <c r="H95">
        <v>270</v>
      </c>
      <c r="I95">
        <v>27</v>
      </c>
      <c r="J95" s="3">
        <f t="shared" si="9"/>
        <v>4.2</v>
      </c>
      <c r="K95" s="3">
        <f t="shared" si="10"/>
        <v>8</v>
      </c>
      <c r="L95" s="4">
        <f t="shared" si="11"/>
        <v>0.52500000000000002</v>
      </c>
      <c r="M95" s="3">
        <f t="shared" ca="1" si="12"/>
        <v>0.36707560970653086</v>
      </c>
      <c r="N95" s="4">
        <f t="shared" ca="1" si="13"/>
        <v>0.99854430960131035</v>
      </c>
      <c r="P95" s="4" cm="1">
        <f t="array" aca="1" ref="P95" ca="1">IF(K95&lt;=J95,"Need More Agents",
  (POWER(K95,J95)/FACT(K95)*(K95/(K95-J95)))/
  (SUMPRODUCT(POWER(J95,ROW(INDIRECT("1:"&amp;K95))-1)/FACT(ROW(INDIRECT("1:"&amp;K95))-1))+
  (POWER(K95,J95)/FACT(K95)*(K95/(K95-J95)))))</f>
        <v>5.1662493217956192E-3</v>
      </c>
    </row>
    <row r="96" spans="1:16" x14ac:dyDescent="0.2">
      <c r="A96" t="s">
        <v>57</v>
      </c>
      <c r="B96" s="1">
        <v>45665</v>
      </c>
      <c r="C96" t="s">
        <v>42</v>
      </c>
      <c r="D96">
        <v>12</v>
      </c>
      <c r="E96">
        <v>12</v>
      </c>
      <c r="F96">
        <f t="shared" si="7"/>
        <v>0</v>
      </c>
      <c r="G96" s="2">
        <f t="shared" si="8"/>
        <v>0</v>
      </c>
      <c r="H96">
        <v>264</v>
      </c>
      <c r="I96">
        <v>25</v>
      </c>
      <c r="J96" s="3">
        <f t="shared" si="9"/>
        <v>3.52</v>
      </c>
      <c r="K96" s="3">
        <f t="shared" si="10"/>
        <v>7</v>
      </c>
      <c r="L96" s="4">
        <f t="shared" si="11"/>
        <v>0.50285714285714289</v>
      </c>
      <c r="M96" s="3">
        <f t="shared" ca="1" si="12"/>
        <v>0.89542505289954177</v>
      </c>
      <c r="N96" s="4">
        <f t="shared" ca="1" si="13"/>
        <v>0.99639609464157242</v>
      </c>
      <c r="P96" s="4" cm="1">
        <f t="array" aca="1" ref="P96" ca="1">IF(K96&lt;=J96,"Need More Agents",
  (POWER(K96,J96)/FACT(K96)*(K96/(K96-J96)))/
  (SUMPRODUCT(POWER(J96,ROW(INDIRECT("1:"&amp;K96))-1)/FACT(ROW(INDIRECT("1:"&amp;K96))-1))+
  (POWER(K96,J96)/FACT(K96)*(K96/(K96-J96)))))</f>
        <v>1.1803330242766686E-2</v>
      </c>
    </row>
    <row r="97" spans="1:16" x14ac:dyDescent="0.2">
      <c r="A97" t="s">
        <v>57</v>
      </c>
      <c r="B97" s="1">
        <v>45665</v>
      </c>
      <c r="C97" t="s">
        <v>43</v>
      </c>
      <c r="D97">
        <v>9</v>
      </c>
      <c r="E97">
        <v>9</v>
      </c>
      <c r="F97">
        <f t="shared" si="7"/>
        <v>0</v>
      </c>
      <c r="G97" s="2">
        <f t="shared" si="8"/>
        <v>0</v>
      </c>
      <c r="H97">
        <v>270</v>
      </c>
      <c r="I97">
        <v>22</v>
      </c>
      <c r="J97" s="3">
        <f t="shared" si="9"/>
        <v>2.7</v>
      </c>
      <c r="K97" s="3">
        <f t="shared" si="10"/>
        <v>6</v>
      </c>
      <c r="L97" s="4">
        <f t="shared" si="11"/>
        <v>0.45</v>
      </c>
      <c r="M97" s="3">
        <f t="shared" ca="1" si="12"/>
        <v>1.8162814084395087</v>
      </c>
      <c r="N97" s="4">
        <f t="shared" ca="1" si="13"/>
        <v>0.99261059647999195</v>
      </c>
      <c r="P97" s="4" cm="1">
        <f t="array" aca="1" ref="P97" ca="1">IF(K97&lt;=J97,"Need More Agents",
  (POWER(K97,J97)/FACT(K97)*(K97/(K97-J97)))/
  (SUMPRODUCT(POWER(J97,ROW(INDIRECT("1:"&amp;K97))-1)/FACT(ROW(INDIRECT("1:"&amp;K97))-1))+
  (POWER(K97,J97)/FACT(K97)*(K97/(K97-J97)))))</f>
        <v>2.2198994992038441E-2</v>
      </c>
    </row>
    <row r="98" spans="1:16" x14ac:dyDescent="0.2">
      <c r="A98" t="s">
        <v>57</v>
      </c>
      <c r="B98" s="1">
        <v>45665</v>
      </c>
      <c r="C98" t="s">
        <v>44</v>
      </c>
      <c r="D98">
        <v>23</v>
      </c>
      <c r="E98">
        <v>22</v>
      </c>
      <c r="F98">
        <f t="shared" si="7"/>
        <v>1</v>
      </c>
      <c r="G98" s="2">
        <f t="shared" si="8"/>
        <v>4.3478260869565216E-2</v>
      </c>
      <c r="H98">
        <v>276</v>
      </c>
      <c r="I98">
        <v>42</v>
      </c>
      <c r="J98" s="3">
        <f t="shared" si="9"/>
        <v>7.0533333333333337</v>
      </c>
      <c r="K98" s="3">
        <f t="shared" si="10"/>
        <v>12</v>
      </c>
      <c r="L98" s="4">
        <f t="shared" si="11"/>
        <v>0.58777777777777784</v>
      </c>
      <c r="M98" s="3">
        <f t="shared" ca="1" si="12"/>
        <v>1.0582322025937918E-2</v>
      </c>
      <c r="N98" s="4">
        <f t="shared" ca="1" si="13"/>
        <v>0.99996220375498079</v>
      </c>
      <c r="P98" s="4" cm="1">
        <f t="array" aca="1" ref="P98" ca="1">IF(K98&lt;=J98,"Need More Agents",
  (POWER(K98,J98)/FACT(K98)*(K98/(K98-J98)))/
  (SUMPRODUCT(POWER(J98,ROW(INDIRECT("1:"&amp;K98))-1)/FACT(ROW(INDIRECT("1:"&amp;K98))-1))+
  (POWER(K98,J98)/FACT(K98)*(K98/(K98-J98)))))</f>
        <v>1.8966383920883902E-4</v>
      </c>
    </row>
    <row r="99" spans="1:16" x14ac:dyDescent="0.2">
      <c r="A99" t="s">
        <v>57</v>
      </c>
      <c r="B99" s="1">
        <v>45665</v>
      </c>
      <c r="C99" t="s">
        <v>45</v>
      </c>
      <c r="D99">
        <v>16</v>
      </c>
      <c r="E99">
        <v>16</v>
      </c>
      <c r="F99">
        <f t="shared" si="7"/>
        <v>0</v>
      </c>
      <c r="G99" s="2">
        <f t="shared" si="8"/>
        <v>0</v>
      </c>
      <c r="H99">
        <v>270</v>
      </c>
      <c r="I99">
        <v>30</v>
      </c>
      <c r="J99" s="3">
        <f t="shared" si="9"/>
        <v>4.8</v>
      </c>
      <c r="K99" s="3">
        <f t="shared" si="10"/>
        <v>9</v>
      </c>
      <c r="L99" s="4">
        <f t="shared" si="11"/>
        <v>0.53333333333333333</v>
      </c>
      <c r="M99" s="3">
        <f t="shared" ca="1" si="12"/>
        <v>0.12565773388036613</v>
      </c>
      <c r="N99" s="4">
        <f t="shared" ca="1" si="13"/>
        <v>0.99951798286734495</v>
      </c>
      <c r="P99" s="4" cm="1">
        <f t="array" aca="1" ref="P99" ca="1">IF(K99&lt;=J99,"Need More Agents",
  (POWER(K99,J99)/FACT(K99)*(K99/(K99-J99)))/
  (SUMPRODUCT(POWER(J99,ROW(INDIRECT("1:"&amp;K99))-1)/FACT(ROW(INDIRECT("1:"&amp;K99))-1))+
  (POWER(K99,J99)/FACT(K99)*(K99/(K99-J99)))))</f>
        <v>1.9546758603612509E-3</v>
      </c>
    </row>
    <row r="100" spans="1:16" x14ac:dyDescent="0.2">
      <c r="A100" t="s">
        <v>57</v>
      </c>
      <c r="B100" s="1">
        <v>45665</v>
      </c>
      <c r="C100" t="s">
        <v>46</v>
      </c>
      <c r="D100">
        <v>13</v>
      </c>
      <c r="E100">
        <v>13</v>
      </c>
      <c r="F100">
        <f t="shared" si="7"/>
        <v>0</v>
      </c>
      <c r="G100" s="2">
        <f t="shared" si="8"/>
        <v>0</v>
      </c>
      <c r="H100">
        <v>264</v>
      </c>
      <c r="I100">
        <v>27</v>
      </c>
      <c r="J100" s="3">
        <f t="shared" si="9"/>
        <v>3.8133333333333335</v>
      </c>
      <c r="K100" s="3">
        <f t="shared" si="10"/>
        <v>7</v>
      </c>
      <c r="L100" s="4">
        <f t="shared" si="11"/>
        <v>0.54476190476190478</v>
      </c>
      <c r="M100" s="3">
        <f t="shared" ca="1" si="12"/>
        <v>1.4404387981796287</v>
      </c>
      <c r="N100" s="4">
        <f t="shared" ca="1" si="13"/>
        <v>0.99413286895292141</v>
      </c>
      <c r="P100" s="4" cm="1">
        <f t="array" aca="1" ref="P100" ca="1">IF(K100&lt;=J100,"Need More Agents",
  (POWER(K100,J100)/FACT(K100)*(K100/(K100-J100)))/
  (SUMPRODUCT(POWER(J100,ROW(INDIRECT("1:"&amp;K100))-1)/FACT(ROW(INDIRECT("1:"&amp;K100))-1))+
  (POWER(K100,J100)/FACT(K100)*(K100/(K100-J100)))))</f>
        <v>1.7387114786107639E-2</v>
      </c>
    </row>
    <row r="101" spans="1:16" x14ac:dyDescent="0.2">
      <c r="A101" t="s">
        <v>57</v>
      </c>
      <c r="B101" s="1">
        <v>45665</v>
      </c>
      <c r="C101" t="s">
        <v>47</v>
      </c>
      <c r="D101">
        <v>11</v>
      </c>
      <c r="E101">
        <v>11</v>
      </c>
      <c r="F101">
        <f t="shared" si="7"/>
        <v>0</v>
      </c>
      <c r="G101" s="2">
        <f t="shared" si="8"/>
        <v>0</v>
      </c>
      <c r="H101">
        <v>270</v>
      </c>
      <c r="I101">
        <v>24</v>
      </c>
      <c r="J101" s="3">
        <f t="shared" si="9"/>
        <v>3.3</v>
      </c>
      <c r="K101" s="3">
        <f t="shared" si="10"/>
        <v>7</v>
      </c>
      <c r="L101" s="4">
        <f t="shared" si="11"/>
        <v>0.47142857142857142</v>
      </c>
      <c r="M101" s="3">
        <f t="shared" ca="1" si="12"/>
        <v>0.64881217474328701</v>
      </c>
      <c r="N101" s="4">
        <f t="shared" ca="1" si="13"/>
        <v>0.99740983703401687</v>
      </c>
      <c r="P101" s="4" cm="1">
        <f t="array" aca="1" ref="P101" ca="1">IF(K101&lt;=J101,"Need More Agents",
  (POWER(K101,J101)/FACT(K101)*(K101/(K101-J101)))/
  (SUMPRODUCT(POWER(J101,ROW(INDIRECT("1:"&amp;K101))-1)/FACT(ROW(INDIRECT("1:"&amp;K101))-1))+
  (POWER(K101,J101)/FACT(K101)*(K101/(K101-J101)))))</f>
        <v>8.891129802037637E-3</v>
      </c>
    </row>
    <row r="102" spans="1:16" x14ac:dyDescent="0.2">
      <c r="A102" t="s">
        <v>57</v>
      </c>
      <c r="B102" s="1">
        <v>45665</v>
      </c>
      <c r="C102" t="s">
        <v>48</v>
      </c>
      <c r="D102">
        <v>18</v>
      </c>
      <c r="E102">
        <v>17</v>
      </c>
      <c r="F102">
        <f t="shared" si="7"/>
        <v>1</v>
      </c>
      <c r="G102" s="2">
        <f t="shared" si="8"/>
        <v>5.5555555555555552E-2</v>
      </c>
      <c r="H102">
        <v>270</v>
      </c>
      <c r="I102">
        <v>40</v>
      </c>
      <c r="J102" s="3">
        <f t="shared" si="9"/>
        <v>5.4</v>
      </c>
      <c r="K102" s="3">
        <f t="shared" si="10"/>
        <v>9</v>
      </c>
      <c r="L102" s="4">
        <f t="shared" si="11"/>
        <v>0.60000000000000009</v>
      </c>
      <c r="M102" s="3">
        <f t="shared" ca="1" si="12"/>
        <v>0.36585954645051155</v>
      </c>
      <c r="N102" s="4">
        <f t="shared" ca="1" si="13"/>
        <v>0.99853073629648381</v>
      </c>
      <c r="P102" s="4" cm="1">
        <f t="array" aca="1" ref="P102" ca="1">IF(K102&lt;=J102,"Need More Agents",
  (POWER(K102,J102)/FACT(K102)*(K102/(K102-J102)))/
  (SUMPRODUCT(POWER(J102,ROW(INDIRECT("1:"&amp;K102))-1)/FACT(ROW(INDIRECT("1:"&amp;K102))-1))+
  (POWER(K102,J102)/FACT(K102)*(K102/(K102-J102)))))</f>
        <v>4.8781272860068201E-3</v>
      </c>
    </row>
    <row r="103" spans="1:16" x14ac:dyDescent="0.2">
      <c r="A103" t="s">
        <v>57</v>
      </c>
      <c r="B103" s="1">
        <v>45665</v>
      </c>
      <c r="C103" t="s">
        <v>49</v>
      </c>
      <c r="D103">
        <v>13</v>
      </c>
      <c r="E103">
        <v>13</v>
      </c>
      <c r="F103">
        <f t="shared" si="7"/>
        <v>0</v>
      </c>
      <c r="G103" s="2">
        <f t="shared" si="8"/>
        <v>0</v>
      </c>
      <c r="H103">
        <v>264</v>
      </c>
      <c r="I103">
        <v>27</v>
      </c>
      <c r="J103" s="3">
        <f t="shared" si="9"/>
        <v>3.8133333333333335</v>
      </c>
      <c r="K103" s="3">
        <f t="shared" si="10"/>
        <v>7</v>
      </c>
      <c r="L103" s="4">
        <f t="shared" si="11"/>
        <v>0.54476190476190478</v>
      </c>
      <c r="M103" s="3">
        <f t="shared" ca="1" si="12"/>
        <v>1.4404387981796287</v>
      </c>
      <c r="N103" s="4">
        <f t="shared" ca="1" si="13"/>
        <v>0.99413286895292141</v>
      </c>
      <c r="P103" s="4" cm="1">
        <f t="array" aca="1" ref="P103" ca="1">IF(K103&lt;=J103,"Need More Agents",
  (POWER(K103,J103)/FACT(K103)*(K103/(K103-J103)))/
  (SUMPRODUCT(POWER(J103,ROW(INDIRECT("1:"&amp;K103))-1)/FACT(ROW(INDIRECT("1:"&amp;K103))-1))+
  (POWER(K103,J103)/FACT(K103)*(K103/(K103-J103)))))</f>
        <v>1.7387114786107639E-2</v>
      </c>
    </row>
    <row r="104" spans="1:16" x14ac:dyDescent="0.2">
      <c r="A104" t="s">
        <v>57</v>
      </c>
      <c r="B104" s="1">
        <v>45665</v>
      </c>
      <c r="C104" t="s">
        <v>50</v>
      </c>
      <c r="D104">
        <v>10</v>
      </c>
      <c r="E104">
        <v>10</v>
      </c>
      <c r="F104">
        <f t="shared" si="7"/>
        <v>0</v>
      </c>
      <c r="G104" s="2">
        <f t="shared" si="8"/>
        <v>0</v>
      </c>
      <c r="H104">
        <v>270</v>
      </c>
      <c r="I104">
        <v>23</v>
      </c>
      <c r="J104" s="3">
        <f t="shared" si="9"/>
        <v>3</v>
      </c>
      <c r="K104" s="3">
        <f t="shared" si="10"/>
        <v>6</v>
      </c>
      <c r="L104" s="4">
        <f t="shared" si="11"/>
        <v>0.5</v>
      </c>
      <c r="M104" s="3">
        <f t="shared" ca="1" si="12"/>
        <v>2.8421052631578951</v>
      </c>
      <c r="N104" s="4">
        <f t="shared" ca="1" si="13"/>
        <v>0.98838275448932289</v>
      </c>
      <c r="P104" s="4" cm="1">
        <f t="array" aca="1" ref="P104" ca="1">IF(K104&lt;=J104,"Need More Agents",
  (POWER(K104,J104)/FACT(K104)*(K104/(K104-J104)))/
  (SUMPRODUCT(POWER(J104,ROW(INDIRECT("1:"&amp;K104))-1)/FACT(ROW(INDIRECT("1:"&amp;K104))-1))+
  (POWER(K104,J104)/FACT(K104)*(K104/(K104-J104)))))</f>
        <v>3.1578947368421054E-2</v>
      </c>
    </row>
    <row r="105" spans="1:16" x14ac:dyDescent="0.2">
      <c r="A105" t="s">
        <v>57</v>
      </c>
      <c r="B105" s="1">
        <v>45665</v>
      </c>
      <c r="C105" t="s">
        <v>51</v>
      </c>
      <c r="D105">
        <v>8</v>
      </c>
      <c r="E105">
        <v>8</v>
      </c>
      <c r="F105">
        <f t="shared" si="7"/>
        <v>0</v>
      </c>
      <c r="G105" s="2">
        <f t="shared" si="8"/>
        <v>0</v>
      </c>
      <c r="H105">
        <v>264</v>
      </c>
      <c r="I105">
        <v>21</v>
      </c>
      <c r="J105" s="3">
        <f t="shared" si="9"/>
        <v>2.3466666666666667</v>
      </c>
      <c r="K105" s="3">
        <f t="shared" si="10"/>
        <v>5</v>
      </c>
      <c r="L105" s="4">
        <f t="shared" si="11"/>
        <v>0.46933333333333332</v>
      </c>
      <c r="M105" s="3">
        <f t="shared" ca="1" si="12"/>
        <v>6.6883283171517789</v>
      </c>
      <c r="N105" s="4">
        <f t="shared" ca="1" si="13"/>
        <v>0.97279389497571278</v>
      </c>
      <c r="P105" s="4" cm="1">
        <f t="array" aca="1" ref="P105" ca="1">IF(K105&lt;=J105,"Need More Agents",
  (POWER(K105,J105)/FACT(K105)*(K105/(K105-J105)))/
  (SUMPRODUCT(POWER(J105,ROW(INDIRECT("1:"&amp;K105))-1)/FACT(ROW(INDIRECT("1:"&amp;K105))-1))+
  (POWER(K105,J105)/FACT(K105)*(K105/(K105-J105)))))</f>
        <v>6.7221077530969897E-2</v>
      </c>
    </row>
    <row r="106" spans="1:16" x14ac:dyDescent="0.2">
      <c r="A106" t="s">
        <v>57</v>
      </c>
      <c r="B106" s="1">
        <v>45665</v>
      </c>
      <c r="C106" t="s">
        <v>52</v>
      </c>
      <c r="D106">
        <v>15</v>
      </c>
      <c r="E106">
        <v>14</v>
      </c>
      <c r="F106">
        <f t="shared" si="7"/>
        <v>1</v>
      </c>
      <c r="G106" s="2">
        <f t="shared" si="8"/>
        <v>6.6666666666666666E-2</v>
      </c>
      <c r="H106">
        <v>276</v>
      </c>
      <c r="I106">
        <v>45</v>
      </c>
      <c r="J106" s="3">
        <f t="shared" si="9"/>
        <v>4.5999999999999996</v>
      </c>
      <c r="K106" s="3">
        <f t="shared" si="10"/>
        <v>8</v>
      </c>
      <c r="L106" s="4">
        <f t="shared" si="11"/>
        <v>0.57499999999999996</v>
      </c>
      <c r="M106" s="3">
        <f t="shared" ca="1" si="12"/>
        <v>0.74363381748329516</v>
      </c>
      <c r="N106" s="4">
        <f t="shared" ca="1" si="13"/>
        <v>0.99697706671444308</v>
      </c>
      <c r="P106" s="4" cm="1">
        <f t="array" aca="1" ref="P106" ca="1">IF(K106&lt;=J106,"Need More Agents",
  (POWER(K106,J106)/FACT(K106)*(K106/(K106-J106)))/
  (SUMPRODUCT(POWER(J106,ROW(INDIRECT("1:"&amp;K106))-1)/FACT(ROW(INDIRECT("1:"&amp;K106))-1))+
  (POWER(K106,J106)/FACT(K106)*(K106/(K106-J106)))))</f>
        <v>9.1607064472579835E-3</v>
      </c>
    </row>
    <row r="107" spans="1:16" x14ac:dyDescent="0.2">
      <c r="A107" t="s">
        <v>57</v>
      </c>
      <c r="B107" s="1">
        <v>45665</v>
      </c>
      <c r="C107" t="s">
        <v>53</v>
      </c>
      <c r="D107">
        <v>10</v>
      </c>
      <c r="E107">
        <v>10</v>
      </c>
      <c r="F107">
        <f t="shared" si="7"/>
        <v>0</v>
      </c>
      <c r="G107" s="2">
        <f t="shared" si="8"/>
        <v>0</v>
      </c>
      <c r="H107">
        <v>270</v>
      </c>
      <c r="I107">
        <v>24</v>
      </c>
      <c r="J107" s="3">
        <f t="shared" si="9"/>
        <v>3</v>
      </c>
      <c r="K107" s="3">
        <f t="shared" si="10"/>
        <v>6</v>
      </c>
      <c r="L107" s="4">
        <f t="shared" si="11"/>
        <v>0.5</v>
      </c>
      <c r="M107" s="3">
        <f t="shared" ca="1" si="12"/>
        <v>2.8421052631578951</v>
      </c>
      <c r="N107" s="4">
        <f t="shared" ca="1" si="13"/>
        <v>0.98838275448932289</v>
      </c>
      <c r="P107" s="4" cm="1">
        <f t="array" aca="1" ref="P107" ca="1">IF(K107&lt;=J107,"Need More Agents",
  (POWER(K107,J107)/FACT(K107)*(K107/(K107-J107)))/
  (SUMPRODUCT(POWER(J107,ROW(INDIRECT("1:"&amp;K107))-1)/FACT(ROW(INDIRECT("1:"&amp;K107))-1))+
  (POWER(K107,J107)/FACT(K107)*(K107/(K107-J107)))))</f>
        <v>3.1578947368421054E-2</v>
      </c>
    </row>
    <row r="108" spans="1:16" x14ac:dyDescent="0.2">
      <c r="A108" t="s">
        <v>57</v>
      </c>
      <c r="B108" s="1">
        <v>45665</v>
      </c>
      <c r="C108" t="s">
        <v>54</v>
      </c>
      <c r="D108">
        <v>8</v>
      </c>
      <c r="E108">
        <v>8</v>
      </c>
      <c r="F108">
        <f t="shared" si="7"/>
        <v>0</v>
      </c>
      <c r="G108" s="2">
        <f t="shared" si="8"/>
        <v>0</v>
      </c>
      <c r="H108">
        <v>264</v>
      </c>
      <c r="I108">
        <v>21</v>
      </c>
      <c r="J108" s="3">
        <f t="shared" si="9"/>
        <v>2.3466666666666667</v>
      </c>
      <c r="K108" s="3">
        <f t="shared" si="10"/>
        <v>5</v>
      </c>
      <c r="L108" s="4">
        <f t="shared" si="11"/>
        <v>0.46933333333333332</v>
      </c>
      <c r="M108" s="3">
        <f t="shared" ca="1" si="12"/>
        <v>6.6883283171517789</v>
      </c>
      <c r="N108" s="4">
        <f t="shared" ca="1" si="13"/>
        <v>0.97279389497571278</v>
      </c>
      <c r="P108" s="4" cm="1">
        <f t="array" aca="1" ref="P108" ca="1">IF(K108&lt;=J108,"Need More Agents",
  (POWER(K108,J108)/FACT(K108)*(K108/(K108-J108)))/
  (SUMPRODUCT(POWER(J108,ROW(INDIRECT("1:"&amp;K108))-1)/FACT(ROW(INDIRECT("1:"&amp;K108))-1))+
  (POWER(K108,J108)/FACT(K108)*(K108/(K108-J108)))))</f>
        <v>6.7221077530969897E-2</v>
      </c>
    </row>
    <row r="109" spans="1:16" x14ac:dyDescent="0.2">
      <c r="A109" t="s">
        <v>57</v>
      </c>
      <c r="B109" s="1">
        <v>45665</v>
      </c>
      <c r="C109" t="s">
        <v>55</v>
      </c>
      <c r="D109">
        <v>6</v>
      </c>
      <c r="E109">
        <v>6</v>
      </c>
      <c r="F109">
        <f t="shared" si="7"/>
        <v>0</v>
      </c>
      <c r="G109" s="2">
        <f t="shared" si="8"/>
        <v>0</v>
      </c>
      <c r="H109">
        <v>270</v>
      </c>
      <c r="I109">
        <v>19</v>
      </c>
      <c r="J109" s="3">
        <f t="shared" si="9"/>
        <v>1.8</v>
      </c>
      <c r="K109" s="3">
        <f t="shared" si="10"/>
        <v>4</v>
      </c>
      <c r="L109" s="4">
        <f t="shared" si="11"/>
        <v>0.45</v>
      </c>
      <c r="M109" s="3">
        <f t="shared" ca="1" si="12"/>
        <v>17.865014595382185</v>
      </c>
      <c r="N109" s="4">
        <f t="shared" ca="1" si="13"/>
        <v>0.93008350121755878</v>
      </c>
      <c r="P109" s="4" cm="1">
        <f t="array" aca="1" ref="P109" ca="1">IF(K109&lt;=J109,"Need More Agents",
  (POWER(K109,J109)/FACT(K109)*(K109/(K109-J109)))/
  (SUMPRODUCT(POWER(J109,ROW(INDIRECT("1:"&amp;K109))-1)/FACT(ROW(INDIRECT("1:"&amp;K109))-1))+
  (POWER(K109,J109)/FACT(K109)*(K109/(K109-J109)))))</f>
        <v>0.14556678559200298</v>
      </c>
    </row>
    <row r="110" spans="1:16" x14ac:dyDescent="0.2">
      <c r="A110" t="s">
        <v>58</v>
      </c>
      <c r="B110" s="1">
        <v>45666</v>
      </c>
      <c r="C110" t="s">
        <v>16</v>
      </c>
      <c r="D110">
        <v>16</v>
      </c>
      <c r="E110">
        <v>15</v>
      </c>
      <c r="F110">
        <f t="shared" si="7"/>
        <v>1</v>
      </c>
      <c r="G110" s="2">
        <f t="shared" si="8"/>
        <v>6.25E-2</v>
      </c>
      <c r="H110">
        <v>264</v>
      </c>
      <c r="I110">
        <v>47</v>
      </c>
      <c r="J110" s="3">
        <f t="shared" si="9"/>
        <v>4.6933333333333334</v>
      </c>
      <c r="K110" s="3">
        <f t="shared" si="10"/>
        <v>8</v>
      </c>
      <c r="L110" s="4">
        <f t="shared" si="11"/>
        <v>0.58666666666666667</v>
      </c>
      <c r="M110" s="3">
        <f t="shared" ca="1" si="12"/>
        <v>0.83830861505329679</v>
      </c>
      <c r="N110" s="4">
        <f t="shared" ca="1" si="13"/>
        <v>0.99659887890663468</v>
      </c>
      <c r="P110" s="4" cm="1">
        <f t="array" aca="1" ref="P110" ca="1">IF(K110&lt;=J110,"Need More Agents",
  (POWER(K110,J110)/FACT(K110)*(K110/(K110-J110)))/
  (SUMPRODUCT(POWER(J110,ROW(INDIRECT("1:"&amp;K110))-1)/FACT(ROW(INDIRECT("1:"&amp;K110))-1))+
  (POWER(K110,J110)/FACT(K110)*(K110/(K110-J110)))))</f>
        <v>1.0500027097637253E-2</v>
      </c>
    </row>
    <row r="111" spans="1:16" x14ac:dyDescent="0.2">
      <c r="A111" t="s">
        <v>58</v>
      </c>
      <c r="B111" s="1">
        <v>45666</v>
      </c>
      <c r="C111" t="s">
        <v>18</v>
      </c>
      <c r="D111">
        <v>12</v>
      </c>
      <c r="E111">
        <v>12</v>
      </c>
      <c r="F111">
        <f t="shared" si="7"/>
        <v>0</v>
      </c>
      <c r="G111" s="2">
        <f t="shared" si="8"/>
        <v>0</v>
      </c>
      <c r="H111">
        <v>270</v>
      </c>
      <c r="I111">
        <v>25</v>
      </c>
      <c r="J111" s="3">
        <f t="shared" si="9"/>
        <v>3.6</v>
      </c>
      <c r="K111" s="3">
        <f t="shared" si="10"/>
        <v>7</v>
      </c>
      <c r="L111" s="4">
        <f t="shared" si="11"/>
        <v>0.51428571428571435</v>
      </c>
      <c r="M111" s="3">
        <f t="shared" ca="1" si="12"/>
        <v>1.0406053292785904</v>
      </c>
      <c r="N111" s="4">
        <f t="shared" ca="1" si="13"/>
        <v>0.9957810849008546</v>
      </c>
      <c r="P111" s="4" cm="1">
        <f t="array" aca="1" ref="P111" ca="1">IF(K111&lt;=J111,"Need More Agents",
  (POWER(K111,J111)/FACT(K111)*(K111/(K111-J111)))/
  (SUMPRODUCT(POWER(J111,ROW(INDIRECT("1:"&amp;K111))-1)/FACT(ROW(INDIRECT("1:"&amp;K111))-1))+
  (POWER(K111,J111)/FACT(K111)*(K111/(K111-J111)))))</f>
        <v>1.3103918961285953E-2</v>
      </c>
    </row>
    <row r="112" spans="1:16" x14ac:dyDescent="0.2">
      <c r="A112" t="s">
        <v>58</v>
      </c>
      <c r="B112" s="1">
        <v>45666</v>
      </c>
      <c r="C112" t="s">
        <v>20</v>
      </c>
      <c r="D112">
        <v>9</v>
      </c>
      <c r="E112">
        <v>9</v>
      </c>
      <c r="F112">
        <f t="shared" si="7"/>
        <v>0</v>
      </c>
      <c r="G112" s="2">
        <f t="shared" si="8"/>
        <v>0</v>
      </c>
      <c r="H112">
        <v>264</v>
      </c>
      <c r="I112">
        <v>22</v>
      </c>
      <c r="J112" s="3">
        <f t="shared" si="9"/>
        <v>2.64</v>
      </c>
      <c r="K112" s="3">
        <f t="shared" si="10"/>
        <v>6</v>
      </c>
      <c r="L112" s="4">
        <f t="shared" si="11"/>
        <v>0.44</v>
      </c>
      <c r="M112" s="3">
        <f t="shared" ca="1" si="12"/>
        <v>1.6279460847381793</v>
      </c>
      <c r="N112" s="4">
        <f t="shared" ca="1" si="13"/>
        <v>0.99340961509723169</v>
      </c>
      <c r="P112" s="4" cm="1">
        <f t="array" aca="1" ref="P112" ca="1">IF(K112&lt;=J112,"Need More Agents",
  (POWER(K112,J112)/FACT(K112)*(K112/(K112-J112)))/
  (SUMPRODUCT(POWER(J112,ROW(INDIRECT("1:"&amp;K112))-1)/FACT(ROW(INDIRECT("1:"&amp;K112))-1))+
  (POWER(K112,J112)/FACT(K112)*(K112/(K112-J112)))))</f>
        <v>2.0719313805758643E-2</v>
      </c>
    </row>
    <row r="113" spans="1:16" x14ac:dyDescent="0.2">
      <c r="A113" t="s">
        <v>58</v>
      </c>
      <c r="B113" s="1">
        <v>45666</v>
      </c>
      <c r="C113" t="s">
        <v>22</v>
      </c>
      <c r="D113">
        <v>8</v>
      </c>
      <c r="E113">
        <v>8</v>
      </c>
      <c r="F113">
        <f t="shared" si="7"/>
        <v>0</v>
      </c>
      <c r="G113" s="2">
        <f t="shared" si="8"/>
        <v>0</v>
      </c>
      <c r="H113">
        <v>276</v>
      </c>
      <c r="I113">
        <v>21</v>
      </c>
      <c r="J113" s="3">
        <f t="shared" si="9"/>
        <v>2.4533333333333331</v>
      </c>
      <c r="K113" s="3">
        <f t="shared" si="10"/>
        <v>5</v>
      </c>
      <c r="L113" s="4">
        <f t="shared" si="11"/>
        <v>0.49066666666666664</v>
      </c>
      <c r="M113" s="3">
        <f t="shared" ca="1" si="12"/>
        <v>8.150541447440558</v>
      </c>
      <c r="N113" s="4">
        <f t="shared" ca="1" si="13"/>
        <v>0.96722095938556696</v>
      </c>
      <c r="P113" s="4" cm="1">
        <f t="array" aca="1" ref="P113" ca="1">IF(K113&lt;=J113,"Need More Agents",
  (POWER(K113,J113)/FACT(K113)*(K113/(K113-J113)))/
  (SUMPRODUCT(POWER(J113,ROW(INDIRECT("1:"&amp;K113))-1)/FACT(ROW(INDIRECT("1:"&amp;K113))-1))+
  (POWER(K113,J113)/FACT(K113)*(K113/(K113-J113)))))</f>
        <v>7.5205479056094038E-2</v>
      </c>
    </row>
    <row r="114" spans="1:16" x14ac:dyDescent="0.2">
      <c r="A114" t="s">
        <v>58</v>
      </c>
      <c r="B114" s="1">
        <v>45666</v>
      </c>
      <c r="C114" t="s">
        <v>24</v>
      </c>
      <c r="D114">
        <v>24</v>
      </c>
      <c r="E114">
        <v>23</v>
      </c>
      <c r="F114">
        <f t="shared" si="7"/>
        <v>1</v>
      </c>
      <c r="G114" s="2">
        <f t="shared" si="8"/>
        <v>4.1666666666666664E-2</v>
      </c>
      <c r="H114">
        <v>270</v>
      </c>
      <c r="I114">
        <v>43</v>
      </c>
      <c r="J114" s="3">
        <f t="shared" si="9"/>
        <v>7.2</v>
      </c>
      <c r="K114" s="3">
        <f t="shared" si="10"/>
        <v>12</v>
      </c>
      <c r="L114" s="4">
        <f t="shared" si="11"/>
        <v>0.6</v>
      </c>
      <c r="M114" s="3">
        <f t="shared" ca="1" si="12"/>
        <v>1.3772750797681614E-2</v>
      </c>
      <c r="N114" s="4">
        <f t="shared" ca="1" si="13"/>
        <v>0.99995056585903541</v>
      </c>
      <c r="P114" s="4" cm="1">
        <f t="array" aca="1" ref="P114" ca="1">IF(K114&lt;=J114,"Need More Agents",
  (POWER(K114,J114)/FACT(K114)*(K114/(K114-J114)))/
  (SUMPRODUCT(POWER(J114,ROW(INDIRECT("1:"&amp;K114))-1)/FACT(ROW(INDIRECT("1:"&amp;K114))-1))+
  (POWER(K114,J114)/FACT(K114)*(K114/(K114-J114)))))</f>
        <v>2.4484890306989532E-4</v>
      </c>
    </row>
    <row r="115" spans="1:16" x14ac:dyDescent="0.2">
      <c r="A115" t="s">
        <v>58</v>
      </c>
      <c r="B115" s="1">
        <v>45666</v>
      </c>
      <c r="C115" t="s">
        <v>25</v>
      </c>
      <c r="D115">
        <v>17</v>
      </c>
      <c r="E115">
        <v>17</v>
      </c>
      <c r="F115">
        <f t="shared" si="7"/>
        <v>0</v>
      </c>
      <c r="G115" s="2">
        <f t="shared" si="8"/>
        <v>0</v>
      </c>
      <c r="H115">
        <v>264</v>
      </c>
      <c r="I115">
        <v>31</v>
      </c>
      <c r="J115" s="3">
        <f t="shared" si="9"/>
        <v>4.9866666666666664</v>
      </c>
      <c r="K115" s="3">
        <f t="shared" si="10"/>
        <v>9</v>
      </c>
      <c r="L115" s="4">
        <f t="shared" si="11"/>
        <v>0.55407407407407405</v>
      </c>
      <c r="M115" s="3">
        <f t="shared" ca="1" si="12"/>
        <v>0.17020768142493958</v>
      </c>
      <c r="N115" s="4">
        <f t="shared" ca="1" si="13"/>
        <v>0.99934130154129219</v>
      </c>
      <c r="P115" s="4" cm="1">
        <f t="array" aca="1" ref="P115" ca="1">IF(K115&lt;=J115,"Need More Agents",
  (POWER(K115,J115)/FACT(K115)*(K115/(K115-J115)))/
  (SUMPRODUCT(POWER(J115,ROW(INDIRECT("1:"&amp;K115))-1)/FACT(ROW(INDIRECT("1:"&amp;K115))-1))+
  (POWER(K115,J115)/FACT(K115)*(K115/(K115-J115)))))</f>
        <v>2.5875006115609507E-3</v>
      </c>
    </row>
    <row r="116" spans="1:16" x14ac:dyDescent="0.2">
      <c r="A116" t="s">
        <v>58</v>
      </c>
      <c r="B116" s="1">
        <v>45666</v>
      </c>
      <c r="C116" t="s">
        <v>26</v>
      </c>
      <c r="D116">
        <v>13</v>
      </c>
      <c r="E116">
        <v>13</v>
      </c>
      <c r="F116">
        <f t="shared" si="7"/>
        <v>0</v>
      </c>
      <c r="G116" s="2">
        <f t="shared" si="8"/>
        <v>0</v>
      </c>
      <c r="H116">
        <v>270</v>
      </c>
      <c r="I116">
        <v>27</v>
      </c>
      <c r="J116" s="3">
        <f t="shared" si="9"/>
        <v>3.9</v>
      </c>
      <c r="K116" s="3">
        <f t="shared" si="10"/>
        <v>7</v>
      </c>
      <c r="L116" s="4">
        <f t="shared" si="11"/>
        <v>0.55714285714285716</v>
      </c>
      <c r="M116" s="3">
        <f t="shared" ca="1" si="12"/>
        <v>1.7016866732250886</v>
      </c>
      <c r="N116" s="4">
        <f t="shared" ca="1" si="13"/>
        <v>0.99304805123538997</v>
      </c>
      <c r="P116" s="4" cm="1">
        <f t="array" aca="1" ref="P116" ca="1">IF(K116&lt;=J116,"Need More Agents",
  (POWER(K116,J116)/FACT(K116)*(K116/(K116-J116)))/
  (SUMPRODUCT(POWER(J116,ROW(INDIRECT("1:"&amp;K116))-1)/FACT(ROW(INDIRECT("1:"&amp;K116))-1))+
  (POWER(K116,J116)/FACT(K116)*(K116/(K116-J116)))))</f>
        <v>1.9537884025917683E-2</v>
      </c>
    </row>
    <row r="117" spans="1:16" x14ac:dyDescent="0.2">
      <c r="A117" t="s">
        <v>58</v>
      </c>
      <c r="B117" s="1">
        <v>45666</v>
      </c>
      <c r="C117" t="s">
        <v>27</v>
      </c>
      <c r="D117">
        <v>11</v>
      </c>
      <c r="E117">
        <v>11</v>
      </c>
      <c r="F117">
        <f t="shared" si="7"/>
        <v>0</v>
      </c>
      <c r="G117" s="2">
        <f t="shared" si="8"/>
        <v>0</v>
      </c>
      <c r="H117">
        <v>264</v>
      </c>
      <c r="I117">
        <v>24</v>
      </c>
      <c r="J117" s="3">
        <f t="shared" si="9"/>
        <v>3.2266666666666666</v>
      </c>
      <c r="K117" s="3">
        <f t="shared" si="10"/>
        <v>6</v>
      </c>
      <c r="L117" s="4">
        <f t="shared" si="11"/>
        <v>0.5377777777777778</v>
      </c>
      <c r="M117" s="3">
        <f t="shared" ca="1" si="12"/>
        <v>3.9569032882942223</v>
      </c>
      <c r="N117" s="4">
        <f t="shared" ca="1" si="13"/>
        <v>0.983850916190665</v>
      </c>
      <c r="P117" s="4" cm="1">
        <f t="array" aca="1" ref="P117" ca="1">IF(K117&lt;=J117,"Need More Agents",
  (POWER(K117,J117)/FACT(K117)*(K117/(K117-J117)))/
  (SUMPRODUCT(POWER(J117,ROW(INDIRECT("1:"&amp;K117))-1)/FACT(ROW(INDIRECT("1:"&amp;K117))-1))+
  (POWER(K117,J117)/FACT(K117)*(K117/(K117-J117)))))</f>
        <v>4.1567468887131226E-2</v>
      </c>
    </row>
    <row r="118" spans="1:16" x14ac:dyDescent="0.2">
      <c r="A118" t="s">
        <v>58</v>
      </c>
      <c r="B118" s="1">
        <v>45666</v>
      </c>
      <c r="C118" t="s">
        <v>28</v>
      </c>
      <c r="D118">
        <v>28</v>
      </c>
      <c r="E118">
        <v>27</v>
      </c>
      <c r="F118">
        <f t="shared" si="7"/>
        <v>1</v>
      </c>
      <c r="G118" s="2">
        <f t="shared" si="8"/>
        <v>3.5714285714285712E-2</v>
      </c>
      <c r="H118">
        <v>276</v>
      </c>
      <c r="I118">
        <v>44</v>
      </c>
      <c r="J118" s="3">
        <f t="shared" si="9"/>
        <v>8.586666666666666</v>
      </c>
      <c r="K118" s="3">
        <f t="shared" si="10"/>
        <v>13</v>
      </c>
      <c r="L118" s="4">
        <f t="shared" si="11"/>
        <v>0.66051282051282045</v>
      </c>
      <c r="M118" s="3">
        <f t="shared" ca="1" si="12"/>
        <v>2.2425980375735153E-2</v>
      </c>
      <c r="N118" s="4">
        <f t="shared" ca="1" si="13"/>
        <v>0.99991496402814228</v>
      </c>
      <c r="P118" s="4" cm="1">
        <f t="array" aca="1" ref="P118" ca="1">IF(K118&lt;=J118,"Need More Agents",
  (POWER(K118,J118)/FACT(K118)*(K118/(K118-J118)))/
  (SUMPRODUCT(POWER(J118,ROW(INDIRECT("1:"&amp;K118))-1)/FACT(ROW(INDIRECT("1:"&amp;K118))-1))+
  (POWER(K118,J118)/FACT(K118)*(K118/(K118-J118)))))</f>
        <v>3.5859900987286649E-4</v>
      </c>
    </row>
    <row r="119" spans="1:16" x14ac:dyDescent="0.2">
      <c r="A119" t="s">
        <v>58</v>
      </c>
      <c r="B119" s="1">
        <v>45666</v>
      </c>
      <c r="C119" t="s">
        <v>29</v>
      </c>
      <c r="D119">
        <v>20</v>
      </c>
      <c r="E119">
        <v>20</v>
      </c>
      <c r="F119">
        <f t="shared" si="7"/>
        <v>0</v>
      </c>
      <c r="G119" s="2">
        <f t="shared" si="8"/>
        <v>0</v>
      </c>
      <c r="H119">
        <v>270</v>
      </c>
      <c r="I119">
        <v>34</v>
      </c>
      <c r="J119" s="3">
        <f t="shared" si="9"/>
        <v>6</v>
      </c>
      <c r="K119" s="3">
        <f t="shared" si="10"/>
        <v>10</v>
      </c>
      <c r="L119" s="4">
        <f t="shared" si="11"/>
        <v>0.6</v>
      </c>
      <c r="M119" s="3">
        <f t="shared" ca="1" si="12"/>
        <v>0.12559534052078566</v>
      </c>
      <c r="N119" s="4">
        <f t="shared" ca="1" si="13"/>
        <v>0.99950953226189709</v>
      </c>
      <c r="P119" s="4" cm="1">
        <f t="array" aca="1" ref="P119" ca="1">IF(K119&lt;=J119,"Need More Agents",
  (POWER(K119,J119)/FACT(K119)*(K119/(K119-J119)))/
  (SUMPRODUCT(POWER(J119,ROW(INDIRECT("1:"&amp;K119))-1)/FACT(ROW(INDIRECT("1:"&amp;K119))-1))+
  (POWER(K119,J119)/FACT(K119)*(K119/(K119-J119)))))</f>
        <v>1.8606717114190469E-3</v>
      </c>
    </row>
    <row r="120" spans="1:16" x14ac:dyDescent="0.2">
      <c r="A120" t="s">
        <v>58</v>
      </c>
      <c r="B120" s="1">
        <v>45666</v>
      </c>
      <c r="C120" t="s">
        <v>30</v>
      </c>
      <c r="D120">
        <v>16</v>
      </c>
      <c r="E120">
        <v>16</v>
      </c>
      <c r="F120">
        <f t="shared" si="7"/>
        <v>0</v>
      </c>
      <c r="G120" s="2">
        <f t="shared" si="8"/>
        <v>0</v>
      </c>
      <c r="H120">
        <v>264</v>
      </c>
      <c r="I120">
        <v>30</v>
      </c>
      <c r="J120" s="3">
        <f t="shared" si="9"/>
        <v>4.6933333333333334</v>
      </c>
      <c r="K120" s="3">
        <f t="shared" si="10"/>
        <v>8</v>
      </c>
      <c r="L120" s="4">
        <f t="shared" si="11"/>
        <v>0.58666666666666667</v>
      </c>
      <c r="M120" s="3">
        <f t="shared" ca="1" si="12"/>
        <v>0.83830861505329679</v>
      </c>
      <c r="N120" s="4">
        <f t="shared" ca="1" si="13"/>
        <v>0.99659887890663468</v>
      </c>
      <c r="P120" s="4" cm="1">
        <f t="array" aca="1" ref="P120" ca="1">IF(K120&lt;=J120,"Need More Agents",
  (POWER(K120,J120)/FACT(K120)*(K120/(K120-J120)))/
  (SUMPRODUCT(POWER(J120,ROW(INDIRECT("1:"&amp;K120))-1)/FACT(ROW(INDIRECT("1:"&amp;K120))-1))+
  (POWER(K120,J120)/FACT(K120)*(K120/(K120-J120)))))</f>
        <v>1.0500027097637253E-2</v>
      </c>
    </row>
    <row r="121" spans="1:16" x14ac:dyDescent="0.2">
      <c r="A121" t="s">
        <v>58</v>
      </c>
      <c r="B121" s="1">
        <v>45666</v>
      </c>
      <c r="C121" t="s">
        <v>31</v>
      </c>
      <c r="D121">
        <v>13</v>
      </c>
      <c r="E121">
        <v>13</v>
      </c>
      <c r="F121">
        <f t="shared" si="7"/>
        <v>0</v>
      </c>
      <c r="G121" s="2">
        <f t="shared" si="8"/>
        <v>0</v>
      </c>
      <c r="H121">
        <v>270</v>
      </c>
      <c r="I121">
        <v>26</v>
      </c>
      <c r="J121" s="3">
        <f t="shared" si="9"/>
        <v>3.9</v>
      </c>
      <c r="K121" s="3">
        <f t="shared" si="10"/>
        <v>7</v>
      </c>
      <c r="L121" s="4">
        <f t="shared" si="11"/>
        <v>0.55714285714285716</v>
      </c>
      <c r="M121" s="3">
        <f t="shared" ca="1" si="12"/>
        <v>1.7016866732250886</v>
      </c>
      <c r="N121" s="4">
        <f t="shared" ca="1" si="13"/>
        <v>0.99304805123538997</v>
      </c>
      <c r="P121" s="4" cm="1">
        <f t="array" aca="1" ref="P121" ca="1">IF(K121&lt;=J121,"Need More Agents",
  (POWER(K121,J121)/FACT(K121)*(K121/(K121-J121)))/
  (SUMPRODUCT(POWER(J121,ROW(INDIRECT("1:"&amp;K121))-1)/FACT(ROW(INDIRECT("1:"&amp;K121))-1))+
  (POWER(K121,J121)/FACT(K121)*(K121/(K121-J121)))))</f>
        <v>1.9537884025917683E-2</v>
      </c>
    </row>
    <row r="122" spans="1:16" x14ac:dyDescent="0.2">
      <c r="A122" t="s">
        <v>58</v>
      </c>
      <c r="B122" s="1">
        <v>45666</v>
      </c>
      <c r="C122" t="s">
        <v>32</v>
      </c>
      <c r="D122">
        <v>26</v>
      </c>
      <c r="E122">
        <v>25</v>
      </c>
      <c r="F122">
        <f t="shared" si="7"/>
        <v>1</v>
      </c>
      <c r="G122" s="2">
        <f t="shared" si="8"/>
        <v>3.8461538461538464E-2</v>
      </c>
      <c r="H122">
        <v>276</v>
      </c>
      <c r="I122">
        <v>43</v>
      </c>
      <c r="J122" s="3">
        <f t="shared" si="9"/>
        <v>7.9733333333333336</v>
      </c>
      <c r="K122" s="3">
        <f t="shared" si="10"/>
        <v>13</v>
      </c>
      <c r="L122" s="4">
        <f t="shared" si="11"/>
        <v>0.6133333333333334</v>
      </c>
      <c r="M122" s="3">
        <f t="shared" ca="1" si="12"/>
        <v>6.3836273300413087E-3</v>
      </c>
      <c r="N122" s="4">
        <f t="shared" ca="1" si="13"/>
        <v>0.99997742783443122</v>
      </c>
      <c r="P122" s="4" cm="1">
        <f t="array" aca="1" ref="P122" ca="1">IF(K122&lt;=J122,"Need More Agents",
  (POWER(K122,J122)/FACT(K122)*(K122/(K122-J122)))/
  (SUMPRODUCT(POWER(J122,ROW(INDIRECT("1:"&amp;K122))-1)/FACT(ROW(INDIRECT("1:"&amp;K122))-1))+
  (POWER(K122,J122)/FACT(K122)*(K122/(K122-J122)))))</f>
        <v>1.1626219823311947E-4</v>
      </c>
    </row>
    <row r="123" spans="1:16" x14ac:dyDescent="0.2">
      <c r="A123" t="s">
        <v>58</v>
      </c>
      <c r="B123" s="1">
        <v>45666</v>
      </c>
      <c r="C123" t="s">
        <v>33</v>
      </c>
      <c r="D123">
        <v>18</v>
      </c>
      <c r="E123">
        <v>18</v>
      </c>
      <c r="F123">
        <f t="shared" si="7"/>
        <v>0</v>
      </c>
      <c r="G123" s="2">
        <f t="shared" si="8"/>
        <v>0</v>
      </c>
      <c r="H123">
        <v>270</v>
      </c>
      <c r="I123">
        <v>32</v>
      </c>
      <c r="J123" s="3">
        <f t="shared" si="9"/>
        <v>5.4</v>
      </c>
      <c r="K123" s="3">
        <f t="shared" si="10"/>
        <v>9</v>
      </c>
      <c r="L123" s="4">
        <f t="shared" si="11"/>
        <v>0.60000000000000009</v>
      </c>
      <c r="M123" s="3">
        <f t="shared" ca="1" si="12"/>
        <v>0.36585954645051155</v>
      </c>
      <c r="N123" s="4">
        <f t="shared" ca="1" si="13"/>
        <v>0.99853073629648381</v>
      </c>
      <c r="P123" s="4" cm="1">
        <f t="array" aca="1" ref="P123" ca="1">IF(K123&lt;=J123,"Need More Agents",
  (POWER(K123,J123)/FACT(K123)*(K123/(K123-J123)))/
  (SUMPRODUCT(POWER(J123,ROW(INDIRECT("1:"&amp;K123))-1)/FACT(ROW(INDIRECT("1:"&amp;K123))-1))+
  (POWER(K123,J123)/FACT(K123)*(K123/(K123-J123)))))</f>
        <v>4.8781272860068201E-3</v>
      </c>
    </row>
    <row r="124" spans="1:16" x14ac:dyDescent="0.2">
      <c r="A124" t="s">
        <v>58</v>
      </c>
      <c r="B124" s="1">
        <v>45666</v>
      </c>
      <c r="C124" t="s">
        <v>34</v>
      </c>
      <c r="D124">
        <v>15</v>
      </c>
      <c r="E124">
        <v>15</v>
      </c>
      <c r="F124">
        <f t="shared" si="7"/>
        <v>0</v>
      </c>
      <c r="G124" s="2">
        <f t="shared" si="8"/>
        <v>0</v>
      </c>
      <c r="H124">
        <v>264</v>
      </c>
      <c r="I124">
        <v>28</v>
      </c>
      <c r="J124" s="3">
        <f t="shared" si="9"/>
        <v>4.4000000000000004</v>
      </c>
      <c r="K124" s="3">
        <f t="shared" si="10"/>
        <v>8</v>
      </c>
      <c r="L124" s="4">
        <f t="shared" si="11"/>
        <v>0.55000000000000004</v>
      </c>
      <c r="M124" s="3">
        <f t="shared" ca="1" si="12"/>
        <v>0.50329175795908876</v>
      </c>
      <c r="N124" s="4">
        <f t="shared" ca="1" si="13"/>
        <v>0.99798849730401828</v>
      </c>
      <c r="P124" s="4" cm="1">
        <f t="array" aca="1" ref="P124" ca="1">IF(K124&lt;=J124,"Need More Agents",
  (POWER(K124,J124)/FACT(K124)*(K124/(K124-J124)))/
  (SUMPRODUCT(POWER(J124,ROW(INDIRECT("1:"&amp;K124))-1)/FACT(ROW(INDIRECT("1:"&amp;K124))-1))+
  (POWER(K124,J124)/FACT(K124)*(K124/(K124-J124)))))</f>
        <v>6.863069426714846E-3</v>
      </c>
    </row>
    <row r="125" spans="1:16" x14ac:dyDescent="0.2">
      <c r="A125" t="s">
        <v>58</v>
      </c>
      <c r="B125" s="1">
        <v>45666</v>
      </c>
      <c r="C125" t="s">
        <v>35</v>
      </c>
      <c r="D125">
        <v>12</v>
      </c>
      <c r="E125">
        <v>12</v>
      </c>
      <c r="F125">
        <f t="shared" si="7"/>
        <v>0</v>
      </c>
      <c r="G125" s="2">
        <f t="shared" si="8"/>
        <v>0</v>
      </c>
      <c r="H125">
        <v>270</v>
      </c>
      <c r="I125">
        <v>25</v>
      </c>
      <c r="J125" s="3">
        <f t="shared" si="9"/>
        <v>3.6</v>
      </c>
      <c r="K125" s="3">
        <f t="shared" si="10"/>
        <v>7</v>
      </c>
      <c r="L125" s="4">
        <f t="shared" si="11"/>
        <v>0.51428571428571435</v>
      </c>
      <c r="M125" s="3">
        <f t="shared" ca="1" si="12"/>
        <v>1.0406053292785904</v>
      </c>
      <c r="N125" s="4">
        <f t="shared" ca="1" si="13"/>
        <v>0.9957810849008546</v>
      </c>
      <c r="P125" s="4" cm="1">
        <f t="array" aca="1" ref="P125" ca="1">IF(K125&lt;=J125,"Need More Agents",
  (POWER(K125,J125)/FACT(K125)*(K125/(K125-J125)))/
  (SUMPRODUCT(POWER(J125,ROW(INDIRECT("1:"&amp;K125))-1)/FACT(ROW(INDIRECT("1:"&amp;K125))-1))+
  (POWER(K125,J125)/FACT(K125)*(K125/(K125-J125)))))</f>
        <v>1.3103918961285953E-2</v>
      </c>
    </row>
    <row r="126" spans="1:16" x14ac:dyDescent="0.2">
      <c r="A126" t="s">
        <v>58</v>
      </c>
      <c r="B126" s="1">
        <v>45666</v>
      </c>
      <c r="C126" t="s">
        <v>36</v>
      </c>
      <c r="D126">
        <v>19</v>
      </c>
      <c r="E126">
        <v>18</v>
      </c>
      <c r="F126">
        <f t="shared" si="7"/>
        <v>1</v>
      </c>
      <c r="G126" s="2">
        <f t="shared" si="8"/>
        <v>5.2631578947368418E-2</v>
      </c>
      <c r="H126">
        <v>264</v>
      </c>
      <c r="I126">
        <v>41</v>
      </c>
      <c r="J126" s="3">
        <f t="shared" si="9"/>
        <v>5.5733333333333333</v>
      </c>
      <c r="K126" s="3">
        <f t="shared" si="10"/>
        <v>10</v>
      </c>
      <c r="L126" s="4">
        <f t="shared" si="11"/>
        <v>0.55733333333333335</v>
      </c>
      <c r="M126" s="3">
        <f t="shared" ca="1" si="12"/>
        <v>5.5968275963253225E-2</v>
      </c>
      <c r="N126" s="4">
        <f t="shared" ca="1" si="13"/>
        <v>0.99979249671898174</v>
      </c>
      <c r="P126" s="4" cm="1">
        <f t="array" aca="1" ref="P126" ca="1">IF(K126&lt;=J126,"Need More Agents",
  (POWER(K126,J126)/FACT(K126)*(K126/(K126-J126)))/
  (SUMPRODUCT(POWER(J126,ROW(INDIRECT("1:"&amp;K126))-1)/FACT(ROW(INDIRECT("1:"&amp;K126))-1))+
  (POWER(K126,J126)/FACT(K126)*(K126/(K126-J126)))))</f>
        <v>9.384579605959632E-4</v>
      </c>
    </row>
    <row r="127" spans="1:16" x14ac:dyDescent="0.2">
      <c r="A127" t="s">
        <v>58</v>
      </c>
      <c r="B127" s="1">
        <v>45666</v>
      </c>
      <c r="C127" t="s">
        <v>37</v>
      </c>
      <c r="D127">
        <v>13</v>
      </c>
      <c r="E127">
        <v>13</v>
      </c>
      <c r="F127">
        <f t="shared" si="7"/>
        <v>0</v>
      </c>
      <c r="G127" s="2">
        <f t="shared" si="8"/>
        <v>0</v>
      </c>
      <c r="H127">
        <v>270</v>
      </c>
      <c r="I127">
        <v>27</v>
      </c>
      <c r="J127" s="3">
        <f t="shared" si="9"/>
        <v>3.9</v>
      </c>
      <c r="K127" s="3">
        <f t="shared" si="10"/>
        <v>7</v>
      </c>
      <c r="L127" s="4">
        <f t="shared" si="11"/>
        <v>0.55714285714285716</v>
      </c>
      <c r="M127" s="3">
        <f t="shared" ca="1" si="12"/>
        <v>1.7016866732250886</v>
      </c>
      <c r="N127" s="4">
        <f t="shared" ca="1" si="13"/>
        <v>0.99304805123538997</v>
      </c>
      <c r="P127" s="4" cm="1">
        <f t="array" aca="1" ref="P127" ca="1">IF(K127&lt;=J127,"Need More Agents",
  (POWER(K127,J127)/FACT(K127)*(K127/(K127-J127)))/
  (SUMPRODUCT(POWER(J127,ROW(INDIRECT("1:"&amp;K127))-1)/FACT(ROW(INDIRECT("1:"&amp;K127))-1))+
  (POWER(K127,J127)/FACT(K127)*(K127/(K127-J127)))))</f>
        <v>1.9537884025917683E-2</v>
      </c>
    </row>
    <row r="128" spans="1:16" x14ac:dyDescent="0.2">
      <c r="A128" t="s">
        <v>58</v>
      </c>
      <c r="B128" s="1">
        <v>45666</v>
      </c>
      <c r="C128" t="s">
        <v>38</v>
      </c>
      <c r="D128">
        <v>11</v>
      </c>
      <c r="E128">
        <v>11</v>
      </c>
      <c r="F128">
        <f t="shared" si="7"/>
        <v>0</v>
      </c>
      <c r="G128" s="2">
        <f t="shared" si="8"/>
        <v>0</v>
      </c>
      <c r="H128">
        <v>264</v>
      </c>
      <c r="I128">
        <v>24</v>
      </c>
      <c r="J128" s="3">
        <f t="shared" si="9"/>
        <v>3.2266666666666666</v>
      </c>
      <c r="K128" s="3">
        <f t="shared" si="10"/>
        <v>6</v>
      </c>
      <c r="L128" s="4">
        <f t="shared" si="11"/>
        <v>0.5377777777777778</v>
      </c>
      <c r="M128" s="3">
        <f t="shared" ca="1" si="12"/>
        <v>3.9569032882942223</v>
      </c>
      <c r="N128" s="4">
        <f t="shared" ca="1" si="13"/>
        <v>0.983850916190665</v>
      </c>
      <c r="P128" s="4" cm="1">
        <f t="array" aca="1" ref="P128" ca="1">IF(K128&lt;=J128,"Need More Agents",
  (POWER(K128,J128)/FACT(K128)*(K128/(K128-J128)))/
  (SUMPRODUCT(POWER(J128,ROW(INDIRECT("1:"&amp;K128))-1)/FACT(ROW(INDIRECT("1:"&amp;K128))-1))+
  (POWER(K128,J128)/FACT(K128)*(K128/(K128-J128)))))</f>
        <v>4.1567468887131226E-2</v>
      </c>
    </row>
    <row r="129" spans="1:16" x14ac:dyDescent="0.2">
      <c r="A129" t="s">
        <v>58</v>
      </c>
      <c r="B129" s="1">
        <v>45666</v>
      </c>
      <c r="C129" t="s">
        <v>39</v>
      </c>
      <c r="D129">
        <v>9</v>
      </c>
      <c r="E129">
        <v>9</v>
      </c>
      <c r="F129">
        <f t="shared" si="7"/>
        <v>0</v>
      </c>
      <c r="G129" s="2">
        <f t="shared" si="8"/>
        <v>0</v>
      </c>
      <c r="H129">
        <v>270</v>
      </c>
      <c r="I129">
        <v>22</v>
      </c>
      <c r="J129" s="3">
        <f t="shared" si="9"/>
        <v>2.7</v>
      </c>
      <c r="K129" s="3">
        <f t="shared" si="10"/>
        <v>6</v>
      </c>
      <c r="L129" s="4">
        <f t="shared" si="11"/>
        <v>0.45</v>
      </c>
      <c r="M129" s="3">
        <f t="shared" ca="1" si="12"/>
        <v>1.8162814084395087</v>
      </c>
      <c r="N129" s="4">
        <f t="shared" ca="1" si="13"/>
        <v>0.99261059647999195</v>
      </c>
      <c r="P129" s="4" cm="1">
        <f t="array" aca="1" ref="P129" ca="1">IF(K129&lt;=J129,"Need More Agents",
  (POWER(K129,J129)/FACT(K129)*(K129/(K129-J129)))/
  (SUMPRODUCT(POWER(J129,ROW(INDIRECT("1:"&amp;K129))-1)/FACT(ROW(INDIRECT("1:"&amp;K129))-1))+
  (POWER(K129,J129)/FACT(K129)*(K129/(K129-J129)))))</f>
        <v>2.2198994992038441E-2</v>
      </c>
    </row>
    <row r="130" spans="1:16" x14ac:dyDescent="0.2">
      <c r="A130" t="s">
        <v>58</v>
      </c>
      <c r="B130" s="1">
        <v>45666</v>
      </c>
      <c r="C130" t="s">
        <v>40</v>
      </c>
      <c r="D130">
        <v>23</v>
      </c>
      <c r="E130">
        <v>22</v>
      </c>
      <c r="F130">
        <f t="shared" si="7"/>
        <v>1</v>
      </c>
      <c r="G130" s="2">
        <f t="shared" si="8"/>
        <v>4.3478260869565216E-2</v>
      </c>
      <c r="H130">
        <v>276</v>
      </c>
      <c r="I130">
        <v>42</v>
      </c>
      <c r="J130" s="3">
        <f t="shared" si="9"/>
        <v>7.0533333333333337</v>
      </c>
      <c r="K130" s="3">
        <f t="shared" si="10"/>
        <v>12</v>
      </c>
      <c r="L130" s="4">
        <f t="shared" si="11"/>
        <v>0.58777777777777784</v>
      </c>
      <c r="M130" s="3">
        <f t="shared" ca="1" si="12"/>
        <v>1.0582322025937918E-2</v>
      </c>
      <c r="N130" s="4">
        <f t="shared" ca="1" si="13"/>
        <v>0.99996220375498079</v>
      </c>
      <c r="P130" s="4" cm="1">
        <f t="array" aca="1" ref="P130" ca="1">IF(K130&lt;=J130,"Need More Agents",
  (POWER(K130,J130)/FACT(K130)*(K130/(K130-J130)))/
  (SUMPRODUCT(POWER(J130,ROW(INDIRECT("1:"&amp;K130))-1)/FACT(ROW(INDIRECT("1:"&amp;K130))-1))+
  (POWER(K130,J130)/FACT(K130)*(K130/(K130-J130)))))</f>
        <v>1.8966383920883902E-4</v>
      </c>
    </row>
    <row r="131" spans="1:16" x14ac:dyDescent="0.2">
      <c r="A131" t="s">
        <v>58</v>
      </c>
      <c r="B131" s="1">
        <v>45666</v>
      </c>
      <c r="C131" t="s">
        <v>41</v>
      </c>
      <c r="D131">
        <v>16</v>
      </c>
      <c r="E131">
        <v>16</v>
      </c>
      <c r="F131">
        <f t="shared" ref="F131:F194" si="14">D131-E131</f>
        <v>0</v>
      </c>
      <c r="G131" s="2">
        <f t="shared" ref="G131:G194" si="15">F131/D131</f>
        <v>0</v>
      </c>
      <c r="H131">
        <v>270</v>
      </c>
      <c r="I131">
        <v>30</v>
      </c>
      <c r="J131" s="3">
        <f t="shared" ref="J131:J194" si="16">D131*H131/900</f>
        <v>4.8</v>
      </c>
      <c r="K131" s="3">
        <f t="shared" ref="K131:K194" si="17">ROUNDUP(J131+SQRT(J131)*1.5,0)</f>
        <v>9</v>
      </c>
      <c r="L131" s="4">
        <f t="shared" ref="L131:L194" si="18">J131/K131</f>
        <v>0.53333333333333333</v>
      </c>
      <c r="M131" s="3">
        <f t="shared" ref="M131:M194" ca="1" si="19">IF(K131&lt;=J131,"Need More Agents",(P131*H131)/(K131-J131))</f>
        <v>0.12565773388036613</v>
      </c>
      <c r="N131" s="4">
        <f t="shared" ref="N131:N194" ca="1" si="20">IF(K131&lt;=J131,0,1-(P131*EXP(-((K131-J131)*(90/H131)))))</f>
        <v>0.99951798286734495</v>
      </c>
      <c r="P131" s="4" cm="1">
        <f t="array" aca="1" ref="P131" ca="1">IF(K131&lt;=J131,"Need More Agents",
  (POWER(K131,J131)/FACT(K131)*(K131/(K131-J131)))/
  (SUMPRODUCT(POWER(J131,ROW(INDIRECT("1:"&amp;K131))-1)/FACT(ROW(INDIRECT("1:"&amp;K131))-1))+
  (POWER(K131,J131)/FACT(K131)*(K131/(K131-J131)))))</f>
        <v>1.9546758603612509E-3</v>
      </c>
    </row>
    <row r="132" spans="1:16" x14ac:dyDescent="0.2">
      <c r="A132" t="s">
        <v>58</v>
      </c>
      <c r="B132" s="1">
        <v>45666</v>
      </c>
      <c r="C132" t="s">
        <v>42</v>
      </c>
      <c r="D132">
        <v>13</v>
      </c>
      <c r="E132">
        <v>13</v>
      </c>
      <c r="F132">
        <f t="shared" si="14"/>
        <v>0</v>
      </c>
      <c r="G132" s="2">
        <f t="shared" si="15"/>
        <v>0</v>
      </c>
      <c r="H132">
        <v>264</v>
      </c>
      <c r="I132">
        <v>27</v>
      </c>
      <c r="J132" s="3">
        <f t="shared" si="16"/>
        <v>3.8133333333333335</v>
      </c>
      <c r="K132" s="3">
        <f t="shared" si="17"/>
        <v>7</v>
      </c>
      <c r="L132" s="4">
        <f t="shared" si="18"/>
        <v>0.54476190476190478</v>
      </c>
      <c r="M132" s="3">
        <f t="shared" ca="1" si="19"/>
        <v>1.4404387981796287</v>
      </c>
      <c r="N132" s="4">
        <f t="shared" ca="1" si="20"/>
        <v>0.99413286895292141</v>
      </c>
      <c r="P132" s="4" cm="1">
        <f t="array" aca="1" ref="P132" ca="1">IF(K132&lt;=J132,"Need More Agents",
  (POWER(K132,J132)/FACT(K132)*(K132/(K132-J132)))/
  (SUMPRODUCT(POWER(J132,ROW(INDIRECT("1:"&amp;K132))-1)/FACT(ROW(INDIRECT("1:"&amp;K132))-1))+
  (POWER(K132,J132)/FACT(K132)*(K132/(K132-J132)))))</f>
        <v>1.7387114786107639E-2</v>
      </c>
    </row>
    <row r="133" spans="1:16" x14ac:dyDescent="0.2">
      <c r="A133" t="s">
        <v>58</v>
      </c>
      <c r="B133" s="1">
        <v>45666</v>
      </c>
      <c r="C133" t="s">
        <v>43</v>
      </c>
      <c r="D133">
        <v>10</v>
      </c>
      <c r="E133">
        <v>10</v>
      </c>
      <c r="F133">
        <f t="shared" si="14"/>
        <v>0</v>
      </c>
      <c r="G133" s="2">
        <f t="shared" si="15"/>
        <v>0</v>
      </c>
      <c r="H133">
        <v>270</v>
      </c>
      <c r="I133">
        <v>23</v>
      </c>
      <c r="J133" s="3">
        <f t="shared" si="16"/>
        <v>3</v>
      </c>
      <c r="K133" s="3">
        <f t="shared" si="17"/>
        <v>6</v>
      </c>
      <c r="L133" s="4">
        <f t="shared" si="18"/>
        <v>0.5</v>
      </c>
      <c r="M133" s="3">
        <f t="shared" ca="1" si="19"/>
        <v>2.8421052631578951</v>
      </c>
      <c r="N133" s="4">
        <f t="shared" ca="1" si="20"/>
        <v>0.98838275448932289</v>
      </c>
      <c r="P133" s="4" cm="1">
        <f t="array" aca="1" ref="P133" ca="1">IF(K133&lt;=J133,"Need More Agents",
  (POWER(K133,J133)/FACT(K133)*(K133/(K133-J133)))/
  (SUMPRODUCT(POWER(J133,ROW(INDIRECT("1:"&amp;K133))-1)/FACT(ROW(INDIRECT("1:"&amp;K133))-1))+
  (POWER(K133,J133)/FACT(K133)*(K133/(K133-J133)))))</f>
        <v>3.1578947368421054E-2</v>
      </c>
    </row>
    <row r="134" spans="1:16" x14ac:dyDescent="0.2">
      <c r="A134" t="s">
        <v>58</v>
      </c>
      <c r="B134" s="1">
        <v>45666</v>
      </c>
      <c r="C134" t="s">
        <v>44</v>
      </c>
      <c r="D134">
        <v>26</v>
      </c>
      <c r="E134">
        <v>25</v>
      </c>
      <c r="F134">
        <f t="shared" si="14"/>
        <v>1</v>
      </c>
      <c r="G134" s="2">
        <f t="shared" si="15"/>
        <v>3.8461538461538464E-2</v>
      </c>
      <c r="H134">
        <v>276</v>
      </c>
      <c r="I134">
        <v>43</v>
      </c>
      <c r="J134" s="3">
        <f t="shared" si="16"/>
        <v>7.9733333333333336</v>
      </c>
      <c r="K134" s="3">
        <f t="shared" si="17"/>
        <v>13</v>
      </c>
      <c r="L134" s="4">
        <f t="shared" si="18"/>
        <v>0.6133333333333334</v>
      </c>
      <c r="M134" s="3">
        <f t="shared" ca="1" si="19"/>
        <v>6.3836273300413087E-3</v>
      </c>
      <c r="N134" s="4">
        <f t="shared" ca="1" si="20"/>
        <v>0.99997742783443122</v>
      </c>
      <c r="P134" s="4" cm="1">
        <f t="array" aca="1" ref="P134" ca="1">IF(K134&lt;=J134,"Need More Agents",
  (POWER(K134,J134)/FACT(K134)*(K134/(K134-J134)))/
  (SUMPRODUCT(POWER(J134,ROW(INDIRECT("1:"&amp;K134))-1)/FACT(ROW(INDIRECT("1:"&amp;K134))-1))+
  (POWER(K134,J134)/FACT(K134)*(K134/(K134-J134)))))</f>
        <v>1.1626219823311947E-4</v>
      </c>
    </row>
    <row r="135" spans="1:16" x14ac:dyDescent="0.2">
      <c r="A135" t="s">
        <v>58</v>
      </c>
      <c r="B135" s="1">
        <v>45666</v>
      </c>
      <c r="C135" t="s">
        <v>45</v>
      </c>
      <c r="D135">
        <v>18</v>
      </c>
      <c r="E135">
        <v>18</v>
      </c>
      <c r="F135">
        <f t="shared" si="14"/>
        <v>0</v>
      </c>
      <c r="G135" s="2">
        <f t="shared" si="15"/>
        <v>0</v>
      </c>
      <c r="H135">
        <v>270</v>
      </c>
      <c r="I135">
        <v>32</v>
      </c>
      <c r="J135" s="3">
        <f t="shared" si="16"/>
        <v>5.4</v>
      </c>
      <c r="K135" s="3">
        <f t="shared" si="17"/>
        <v>9</v>
      </c>
      <c r="L135" s="4">
        <f t="shared" si="18"/>
        <v>0.60000000000000009</v>
      </c>
      <c r="M135" s="3">
        <f t="shared" ca="1" si="19"/>
        <v>0.36585954645051155</v>
      </c>
      <c r="N135" s="4">
        <f t="shared" ca="1" si="20"/>
        <v>0.99853073629648381</v>
      </c>
      <c r="P135" s="4" cm="1">
        <f t="array" aca="1" ref="P135" ca="1">IF(K135&lt;=J135,"Need More Agents",
  (POWER(K135,J135)/FACT(K135)*(K135/(K135-J135)))/
  (SUMPRODUCT(POWER(J135,ROW(INDIRECT("1:"&amp;K135))-1)/FACT(ROW(INDIRECT("1:"&amp;K135))-1))+
  (POWER(K135,J135)/FACT(K135)*(K135/(K135-J135)))))</f>
        <v>4.8781272860068201E-3</v>
      </c>
    </row>
    <row r="136" spans="1:16" x14ac:dyDescent="0.2">
      <c r="A136" t="s">
        <v>58</v>
      </c>
      <c r="B136" s="1">
        <v>45666</v>
      </c>
      <c r="C136" t="s">
        <v>46</v>
      </c>
      <c r="D136">
        <v>15</v>
      </c>
      <c r="E136">
        <v>15</v>
      </c>
      <c r="F136">
        <f t="shared" si="14"/>
        <v>0</v>
      </c>
      <c r="G136" s="2">
        <f t="shared" si="15"/>
        <v>0</v>
      </c>
      <c r="H136">
        <v>264</v>
      </c>
      <c r="I136">
        <v>28</v>
      </c>
      <c r="J136" s="3">
        <f t="shared" si="16"/>
        <v>4.4000000000000004</v>
      </c>
      <c r="K136" s="3">
        <f t="shared" si="17"/>
        <v>8</v>
      </c>
      <c r="L136" s="4">
        <f t="shared" si="18"/>
        <v>0.55000000000000004</v>
      </c>
      <c r="M136" s="3">
        <f t="shared" ca="1" si="19"/>
        <v>0.50329175795908876</v>
      </c>
      <c r="N136" s="4">
        <f t="shared" ca="1" si="20"/>
        <v>0.99798849730401828</v>
      </c>
      <c r="P136" s="4" cm="1">
        <f t="array" aca="1" ref="P136" ca="1">IF(K136&lt;=J136,"Need More Agents",
  (POWER(K136,J136)/FACT(K136)*(K136/(K136-J136)))/
  (SUMPRODUCT(POWER(J136,ROW(INDIRECT("1:"&amp;K136))-1)/FACT(ROW(INDIRECT("1:"&amp;K136))-1))+
  (POWER(K136,J136)/FACT(K136)*(K136/(K136-J136)))))</f>
        <v>6.863069426714846E-3</v>
      </c>
    </row>
    <row r="137" spans="1:16" x14ac:dyDescent="0.2">
      <c r="A137" t="s">
        <v>58</v>
      </c>
      <c r="B137" s="1">
        <v>45666</v>
      </c>
      <c r="C137" t="s">
        <v>47</v>
      </c>
      <c r="D137">
        <v>12</v>
      </c>
      <c r="E137">
        <v>12</v>
      </c>
      <c r="F137">
        <f t="shared" si="14"/>
        <v>0</v>
      </c>
      <c r="G137" s="2">
        <f t="shared" si="15"/>
        <v>0</v>
      </c>
      <c r="H137">
        <v>270</v>
      </c>
      <c r="I137">
        <v>25</v>
      </c>
      <c r="J137" s="3">
        <f t="shared" si="16"/>
        <v>3.6</v>
      </c>
      <c r="K137" s="3">
        <f t="shared" si="17"/>
        <v>7</v>
      </c>
      <c r="L137" s="4">
        <f t="shared" si="18"/>
        <v>0.51428571428571435</v>
      </c>
      <c r="M137" s="3">
        <f t="shared" ca="1" si="19"/>
        <v>1.0406053292785904</v>
      </c>
      <c r="N137" s="4">
        <f t="shared" ca="1" si="20"/>
        <v>0.9957810849008546</v>
      </c>
      <c r="P137" s="4" cm="1">
        <f t="array" aca="1" ref="P137" ca="1">IF(K137&lt;=J137,"Need More Agents",
  (POWER(K137,J137)/FACT(K137)*(K137/(K137-J137)))/
  (SUMPRODUCT(POWER(J137,ROW(INDIRECT("1:"&amp;K137))-1)/FACT(ROW(INDIRECT("1:"&amp;K137))-1))+
  (POWER(K137,J137)/FACT(K137)*(K137/(K137-J137)))))</f>
        <v>1.3103918961285953E-2</v>
      </c>
    </row>
    <row r="138" spans="1:16" x14ac:dyDescent="0.2">
      <c r="A138" t="s">
        <v>58</v>
      </c>
      <c r="B138" s="1">
        <v>45666</v>
      </c>
      <c r="C138" t="s">
        <v>48</v>
      </c>
      <c r="D138">
        <v>21</v>
      </c>
      <c r="E138">
        <v>20</v>
      </c>
      <c r="F138">
        <f t="shared" si="14"/>
        <v>1</v>
      </c>
      <c r="G138" s="2">
        <f t="shared" si="15"/>
        <v>4.7619047619047616E-2</v>
      </c>
      <c r="H138">
        <v>270</v>
      </c>
      <c r="I138">
        <v>42</v>
      </c>
      <c r="J138" s="3">
        <f t="shared" si="16"/>
        <v>6.3</v>
      </c>
      <c r="K138" s="3">
        <f t="shared" si="17"/>
        <v>11</v>
      </c>
      <c r="L138" s="4">
        <f t="shared" si="18"/>
        <v>0.57272727272727275</v>
      </c>
      <c r="M138" s="3">
        <f t="shared" ca="1" si="19"/>
        <v>2.382868798793155E-2</v>
      </c>
      <c r="N138" s="4">
        <f t="shared" ca="1" si="20"/>
        <v>0.99991341562305769</v>
      </c>
      <c r="P138" s="4" cm="1">
        <f t="array" aca="1" ref="P138" ca="1">IF(K138&lt;=J138,"Need More Agents",
  (POWER(K138,J138)/FACT(K138)*(K138/(K138-J138)))/
  (SUMPRODUCT(POWER(J138,ROW(INDIRECT("1:"&amp;K138))-1)/FACT(ROW(INDIRECT("1:"&amp;K138))-1))+
  (POWER(K138,J138)/FACT(K138)*(K138/(K138-J138)))))</f>
        <v>4.1479567978991959E-4</v>
      </c>
    </row>
    <row r="139" spans="1:16" x14ac:dyDescent="0.2">
      <c r="A139" t="s">
        <v>58</v>
      </c>
      <c r="B139" s="1">
        <v>45666</v>
      </c>
      <c r="C139" t="s">
        <v>49</v>
      </c>
      <c r="D139">
        <v>15</v>
      </c>
      <c r="E139">
        <v>15</v>
      </c>
      <c r="F139">
        <f t="shared" si="14"/>
        <v>0</v>
      </c>
      <c r="G139" s="2">
        <f t="shared" si="15"/>
        <v>0</v>
      </c>
      <c r="H139">
        <v>264</v>
      </c>
      <c r="I139">
        <v>28</v>
      </c>
      <c r="J139" s="3">
        <f t="shared" si="16"/>
        <v>4.4000000000000004</v>
      </c>
      <c r="K139" s="3">
        <f t="shared" si="17"/>
        <v>8</v>
      </c>
      <c r="L139" s="4">
        <f t="shared" si="18"/>
        <v>0.55000000000000004</v>
      </c>
      <c r="M139" s="3">
        <f t="shared" ca="1" si="19"/>
        <v>0.50329175795908876</v>
      </c>
      <c r="N139" s="4">
        <f t="shared" ca="1" si="20"/>
        <v>0.99798849730401828</v>
      </c>
      <c r="P139" s="4" cm="1">
        <f t="array" aca="1" ref="P139" ca="1">IF(K139&lt;=J139,"Need More Agents",
  (POWER(K139,J139)/FACT(K139)*(K139/(K139-J139)))/
  (SUMPRODUCT(POWER(J139,ROW(INDIRECT("1:"&amp;K139))-1)/FACT(ROW(INDIRECT("1:"&amp;K139))-1))+
  (POWER(K139,J139)/FACT(K139)*(K139/(K139-J139)))))</f>
        <v>6.863069426714846E-3</v>
      </c>
    </row>
    <row r="140" spans="1:16" x14ac:dyDescent="0.2">
      <c r="A140" t="s">
        <v>58</v>
      </c>
      <c r="B140" s="1">
        <v>45666</v>
      </c>
      <c r="C140" t="s">
        <v>50</v>
      </c>
      <c r="D140">
        <v>12</v>
      </c>
      <c r="E140">
        <v>12</v>
      </c>
      <c r="F140">
        <f t="shared" si="14"/>
        <v>0</v>
      </c>
      <c r="G140" s="2">
        <f t="shared" si="15"/>
        <v>0</v>
      </c>
      <c r="H140">
        <v>270</v>
      </c>
      <c r="I140">
        <v>25</v>
      </c>
      <c r="J140" s="3">
        <f t="shared" si="16"/>
        <v>3.6</v>
      </c>
      <c r="K140" s="3">
        <f t="shared" si="17"/>
        <v>7</v>
      </c>
      <c r="L140" s="4">
        <f t="shared" si="18"/>
        <v>0.51428571428571435</v>
      </c>
      <c r="M140" s="3">
        <f t="shared" ca="1" si="19"/>
        <v>1.0406053292785904</v>
      </c>
      <c r="N140" s="4">
        <f t="shared" ca="1" si="20"/>
        <v>0.9957810849008546</v>
      </c>
      <c r="P140" s="4" cm="1">
        <f t="array" aca="1" ref="P140" ca="1">IF(K140&lt;=J140,"Need More Agents",
  (POWER(K140,J140)/FACT(K140)*(K140/(K140-J140)))/
  (SUMPRODUCT(POWER(J140,ROW(INDIRECT("1:"&amp;K140))-1)/FACT(ROW(INDIRECT("1:"&amp;K140))-1))+
  (POWER(K140,J140)/FACT(K140)*(K140/(K140-J140)))))</f>
        <v>1.3103918961285953E-2</v>
      </c>
    </row>
    <row r="141" spans="1:16" x14ac:dyDescent="0.2">
      <c r="A141" t="s">
        <v>58</v>
      </c>
      <c r="B141" s="1">
        <v>45666</v>
      </c>
      <c r="C141" t="s">
        <v>51</v>
      </c>
      <c r="D141">
        <v>9</v>
      </c>
      <c r="E141">
        <v>9</v>
      </c>
      <c r="F141">
        <f t="shared" si="14"/>
        <v>0</v>
      </c>
      <c r="G141" s="2">
        <f t="shared" si="15"/>
        <v>0</v>
      </c>
      <c r="H141">
        <v>264</v>
      </c>
      <c r="I141">
        <v>22</v>
      </c>
      <c r="J141" s="3">
        <f t="shared" si="16"/>
        <v>2.64</v>
      </c>
      <c r="K141" s="3">
        <f t="shared" si="17"/>
        <v>6</v>
      </c>
      <c r="L141" s="4">
        <f t="shared" si="18"/>
        <v>0.44</v>
      </c>
      <c r="M141" s="3">
        <f t="shared" ca="1" si="19"/>
        <v>1.6279460847381793</v>
      </c>
      <c r="N141" s="4">
        <f t="shared" ca="1" si="20"/>
        <v>0.99340961509723169</v>
      </c>
      <c r="P141" s="4" cm="1">
        <f t="array" aca="1" ref="P141" ca="1">IF(K141&lt;=J141,"Need More Agents",
  (POWER(K141,J141)/FACT(K141)*(K141/(K141-J141)))/
  (SUMPRODUCT(POWER(J141,ROW(INDIRECT("1:"&amp;K141))-1)/FACT(ROW(INDIRECT("1:"&amp;K141))-1))+
  (POWER(K141,J141)/FACT(K141)*(K141/(K141-J141)))))</f>
        <v>2.0719313805758643E-2</v>
      </c>
    </row>
    <row r="142" spans="1:16" x14ac:dyDescent="0.2">
      <c r="A142" t="s">
        <v>58</v>
      </c>
      <c r="B142" s="1">
        <v>45666</v>
      </c>
      <c r="C142" t="s">
        <v>52</v>
      </c>
      <c r="D142">
        <v>17</v>
      </c>
      <c r="E142">
        <v>16</v>
      </c>
      <c r="F142">
        <f t="shared" si="14"/>
        <v>1</v>
      </c>
      <c r="G142" s="2">
        <f t="shared" si="15"/>
        <v>5.8823529411764705E-2</v>
      </c>
      <c r="H142">
        <v>276</v>
      </c>
      <c r="I142">
        <v>43</v>
      </c>
      <c r="J142" s="3">
        <f t="shared" si="16"/>
        <v>5.2133333333333329</v>
      </c>
      <c r="K142" s="3">
        <f t="shared" si="17"/>
        <v>9</v>
      </c>
      <c r="L142" s="4">
        <f t="shared" si="18"/>
        <v>0.57925925925925925</v>
      </c>
      <c r="M142" s="3">
        <f t="shared" ca="1" si="19"/>
        <v>0.26640132715557402</v>
      </c>
      <c r="N142" s="4">
        <f t="shared" ca="1" si="20"/>
        <v>0.99893677518221502</v>
      </c>
      <c r="P142" s="4" cm="1">
        <f t="array" aca="1" ref="P142" ca="1">IF(K142&lt;=J142,"Need More Agents",
  (POWER(K142,J142)/FACT(K142)*(K142/(K142-J142)))/
  (SUMPRODUCT(POWER(J142,ROW(INDIRECT("1:"&amp;K142))-1)/FACT(ROW(INDIRECT("1:"&amp;K142))-1))+
  (POWER(K142,J142)/FACT(K142)*(K142/(K142-J142)))))</f>
        <v>3.6549747300571507E-3</v>
      </c>
    </row>
    <row r="143" spans="1:16" x14ac:dyDescent="0.2">
      <c r="A143" t="s">
        <v>58</v>
      </c>
      <c r="B143" s="1">
        <v>45666</v>
      </c>
      <c r="C143" t="s">
        <v>53</v>
      </c>
      <c r="D143">
        <v>12</v>
      </c>
      <c r="E143">
        <v>12</v>
      </c>
      <c r="F143">
        <f t="shared" si="14"/>
        <v>0</v>
      </c>
      <c r="G143" s="2">
        <f t="shared" si="15"/>
        <v>0</v>
      </c>
      <c r="H143">
        <v>270</v>
      </c>
      <c r="I143">
        <v>25</v>
      </c>
      <c r="J143" s="3">
        <f t="shared" si="16"/>
        <v>3.6</v>
      </c>
      <c r="K143" s="3">
        <f t="shared" si="17"/>
        <v>7</v>
      </c>
      <c r="L143" s="4">
        <f t="shared" si="18"/>
        <v>0.51428571428571435</v>
      </c>
      <c r="M143" s="3">
        <f t="shared" ca="1" si="19"/>
        <v>1.0406053292785904</v>
      </c>
      <c r="N143" s="4">
        <f t="shared" ca="1" si="20"/>
        <v>0.9957810849008546</v>
      </c>
      <c r="P143" s="4" cm="1">
        <f t="array" aca="1" ref="P143" ca="1">IF(K143&lt;=J143,"Need More Agents",
  (POWER(K143,J143)/FACT(K143)*(K143/(K143-J143)))/
  (SUMPRODUCT(POWER(J143,ROW(INDIRECT("1:"&amp;K143))-1)/FACT(ROW(INDIRECT("1:"&amp;K143))-1))+
  (POWER(K143,J143)/FACT(K143)*(K143/(K143-J143)))))</f>
        <v>1.3103918961285953E-2</v>
      </c>
    </row>
    <row r="144" spans="1:16" x14ac:dyDescent="0.2">
      <c r="A144" t="s">
        <v>58</v>
      </c>
      <c r="B144" s="1">
        <v>45666</v>
      </c>
      <c r="C144" t="s">
        <v>54</v>
      </c>
      <c r="D144">
        <v>9</v>
      </c>
      <c r="E144">
        <v>9</v>
      </c>
      <c r="F144">
        <f t="shared" si="14"/>
        <v>0</v>
      </c>
      <c r="G144" s="2">
        <f t="shared" si="15"/>
        <v>0</v>
      </c>
      <c r="H144">
        <v>264</v>
      </c>
      <c r="I144">
        <v>22</v>
      </c>
      <c r="J144" s="3">
        <f t="shared" si="16"/>
        <v>2.64</v>
      </c>
      <c r="K144" s="3">
        <f t="shared" si="17"/>
        <v>6</v>
      </c>
      <c r="L144" s="4">
        <f t="shared" si="18"/>
        <v>0.44</v>
      </c>
      <c r="M144" s="3">
        <f t="shared" ca="1" si="19"/>
        <v>1.6279460847381793</v>
      </c>
      <c r="N144" s="4">
        <f t="shared" ca="1" si="20"/>
        <v>0.99340961509723169</v>
      </c>
      <c r="P144" s="4" cm="1">
        <f t="array" aca="1" ref="P144" ca="1">IF(K144&lt;=J144,"Need More Agents",
  (POWER(K144,J144)/FACT(K144)*(K144/(K144-J144)))/
  (SUMPRODUCT(POWER(J144,ROW(INDIRECT("1:"&amp;K144))-1)/FACT(ROW(INDIRECT("1:"&amp;K144))-1))+
  (POWER(K144,J144)/FACT(K144)*(K144/(K144-J144)))))</f>
        <v>2.0719313805758643E-2</v>
      </c>
    </row>
    <row r="145" spans="1:16" x14ac:dyDescent="0.2">
      <c r="A145" t="s">
        <v>58</v>
      </c>
      <c r="B145" s="1">
        <v>45666</v>
      </c>
      <c r="C145" t="s">
        <v>55</v>
      </c>
      <c r="D145">
        <v>7</v>
      </c>
      <c r="E145">
        <v>7</v>
      </c>
      <c r="F145">
        <f t="shared" si="14"/>
        <v>0</v>
      </c>
      <c r="G145" s="2">
        <f t="shared" si="15"/>
        <v>0</v>
      </c>
      <c r="H145">
        <v>270</v>
      </c>
      <c r="I145">
        <v>20</v>
      </c>
      <c r="J145" s="3">
        <f t="shared" si="16"/>
        <v>2.1</v>
      </c>
      <c r="K145" s="3">
        <f t="shared" si="17"/>
        <v>5</v>
      </c>
      <c r="L145" s="4">
        <f t="shared" si="18"/>
        <v>0.42000000000000004</v>
      </c>
      <c r="M145" s="3">
        <f t="shared" ca="1" si="19"/>
        <v>4.8611786754411463</v>
      </c>
      <c r="N145" s="4">
        <f t="shared" ca="1" si="20"/>
        <v>0.98014097974884984</v>
      </c>
      <c r="P145" s="4" cm="1">
        <f t="array" aca="1" ref="P145" ca="1">IF(K145&lt;=J145,"Need More Agents",
  (POWER(K145,J145)/FACT(K145)*(K145/(K145-J145)))/
  (SUMPRODUCT(POWER(J145,ROW(INDIRECT("1:"&amp;K145))-1)/FACT(ROW(INDIRECT("1:"&amp;K145))-1))+
  (POWER(K145,J145)/FACT(K145)*(K145/(K145-J145)))))</f>
        <v>5.2212659847330832E-2</v>
      </c>
    </row>
    <row r="146" spans="1:16" x14ac:dyDescent="0.2">
      <c r="A146" t="s">
        <v>59</v>
      </c>
      <c r="B146" s="1">
        <v>45667</v>
      </c>
      <c r="C146" t="s">
        <v>16</v>
      </c>
      <c r="D146">
        <v>13</v>
      </c>
      <c r="E146">
        <v>12</v>
      </c>
      <c r="F146">
        <f t="shared" si="14"/>
        <v>1</v>
      </c>
      <c r="G146" s="2">
        <f t="shared" si="15"/>
        <v>7.6923076923076927E-2</v>
      </c>
      <c r="H146">
        <v>264</v>
      </c>
      <c r="I146">
        <v>46</v>
      </c>
      <c r="J146" s="3">
        <f t="shared" si="16"/>
        <v>3.8133333333333335</v>
      </c>
      <c r="K146" s="3">
        <f t="shared" si="17"/>
        <v>7</v>
      </c>
      <c r="L146" s="4">
        <f t="shared" si="18"/>
        <v>0.54476190476190478</v>
      </c>
      <c r="M146" s="3">
        <f t="shared" ca="1" si="19"/>
        <v>1.4404387981796287</v>
      </c>
      <c r="N146" s="4">
        <f t="shared" ca="1" si="20"/>
        <v>0.99413286895292141</v>
      </c>
      <c r="P146" s="4" cm="1">
        <f t="array" aca="1" ref="P146" ca="1">IF(K146&lt;=J146,"Need More Agents",
  (POWER(K146,J146)/FACT(K146)*(K146/(K146-J146)))/
  (SUMPRODUCT(POWER(J146,ROW(INDIRECT("1:"&amp;K146))-1)/FACT(ROW(INDIRECT("1:"&amp;K146))-1))+
  (POWER(K146,J146)/FACT(K146)*(K146/(K146-J146)))))</f>
        <v>1.7387114786107639E-2</v>
      </c>
    </row>
    <row r="147" spans="1:16" x14ac:dyDescent="0.2">
      <c r="A147" t="s">
        <v>59</v>
      </c>
      <c r="B147" s="1">
        <v>45667</v>
      </c>
      <c r="C147" t="s">
        <v>18</v>
      </c>
      <c r="D147">
        <v>10</v>
      </c>
      <c r="E147">
        <v>10</v>
      </c>
      <c r="F147">
        <f t="shared" si="14"/>
        <v>0</v>
      </c>
      <c r="G147" s="2">
        <f t="shared" si="15"/>
        <v>0</v>
      </c>
      <c r="H147">
        <v>270</v>
      </c>
      <c r="I147">
        <v>24</v>
      </c>
      <c r="J147" s="3">
        <f t="shared" si="16"/>
        <v>3</v>
      </c>
      <c r="K147" s="3">
        <f t="shared" si="17"/>
        <v>6</v>
      </c>
      <c r="L147" s="4">
        <f t="shared" si="18"/>
        <v>0.5</v>
      </c>
      <c r="M147" s="3">
        <f t="shared" ca="1" si="19"/>
        <v>2.8421052631578951</v>
      </c>
      <c r="N147" s="4">
        <f t="shared" ca="1" si="20"/>
        <v>0.98838275448932289</v>
      </c>
      <c r="P147" s="4" cm="1">
        <f t="array" aca="1" ref="P147" ca="1">IF(K147&lt;=J147,"Need More Agents",
  (POWER(K147,J147)/FACT(K147)*(K147/(K147-J147)))/
  (SUMPRODUCT(POWER(J147,ROW(INDIRECT("1:"&amp;K147))-1)/FACT(ROW(INDIRECT("1:"&amp;K147))-1))+
  (POWER(K147,J147)/FACT(K147)*(K147/(K147-J147)))))</f>
        <v>3.1578947368421054E-2</v>
      </c>
    </row>
    <row r="148" spans="1:16" x14ac:dyDescent="0.2">
      <c r="A148" t="s">
        <v>59</v>
      </c>
      <c r="B148" s="1">
        <v>45667</v>
      </c>
      <c r="C148" t="s">
        <v>20</v>
      </c>
      <c r="D148">
        <v>8</v>
      </c>
      <c r="E148">
        <v>8</v>
      </c>
      <c r="F148">
        <f t="shared" si="14"/>
        <v>0</v>
      </c>
      <c r="G148" s="2">
        <f t="shared" si="15"/>
        <v>0</v>
      </c>
      <c r="H148">
        <v>264</v>
      </c>
      <c r="I148">
        <v>21</v>
      </c>
      <c r="J148" s="3">
        <f t="shared" si="16"/>
        <v>2.3466666666666667</v>
      </c>
      <c r="K148" s="3">
        <f t="shared" si="17"/>
        <v>5</v>
      </c>
      <c r="L148" s="4">
        <f t="shared" si="18"/>
        <v>0.46933333333333332</v>
      </c>
      <c r="M148" s="3">
        <f t="shared" ca="1" si="19"/>
        <v>6.6883283171517789</v>
      </c>
      <c r="N148" s="4">
        <f t="shared" ca="1" si="20"/>
        <v>0.97279389497571278</v>
      </c>
      <c r="P148" s="4" cm="1">
        <f t="array" aca="1" ref="P148" ca="1">IF(K148&lt;=J148,"Need More Agents",
  (POWER(K148,J148)/FACT(K148)*(K148/(K148-J148)))/
  (SUMPRODUCT(POWER(J148,ROW(INDIRECT("1:"&amp;K148))-1)/FACT(ROW(INDIRECT("1:"&amp;K148))-1))+
  (POWER(K148,J148)/FACT(K148)*(K148/(K148-J148)))))</f>
        <v>6.7221077530969897E-2</v>
      </c>
    </row>
    <row r="149" spans="1:16" x14ac:dyDescent="0.2">
      <c r="A149" t="s">
        <v>59</v>
      </c>
      <c r="B149" s="1">
        <v>45667</v>
      </c>
      <c r="C149" t="s">
        <v>22</v>
      </c>
      <c r="D149">
        <v>6</v>
      </c>
      <c r="E149">
        <v>6</v>
      </c>
      <c r="F149">
        <f t="shared" si="14"/>
        <v>0</v>
      </c>
      <c r="G149" s="2">
        <f t="shared" si="15"/>
        <v>0</v>
      </c>
      <c r="H149">
        <v>276</v>
      </c>
      <c r="I149">
        <v>19</v>
      </c>
      <c r="J149" s="3">
        <f t="shared" si="16"/>
        <v>1.84</v>
      </c>
      <c r="K149" s="3">
        <f t="shared" si="17"/>
        <v>4</v>
      </c>
      <c r="L149" s="4">
        <f t="shared" si="18"/>
        <v>0.46</v>
      </c>
      <c r="M149" s="3">
        <f t="shared" ca="1" si="19"/>
        <v>19.263498542826177</v>
      </c>
      <c r="N149" s="4">
        <f t="shared" ca="1" si="20"/>
        <v>0.92546067437383872</v>
      </c>
      <c r="P149" s="4" cm="1">
        <f t="array" aca="1" ref="P149" ca="1">IF(K149&lt;=J149,"Need More Agents",
  (POWER(K149,J149)/FACT(K149)*(K149/(K149-J149)))/
  (SUMPRODUCT(POWER(J149,ROW(INDIRECT("1:"&amp;K149))-1)/FACT(ROW(INDIRECT("1:"&amp;K149))-1))+
  (POWER(K149,J149)/FACT(K149)*(K149/(K149-J149)))))</f>
        <v>0.15075781468298749</v>
      </c>
    </row>
    <row r="150" spans="1:16" x14ac:dyDescent="0.2">
      <c r="A150" t="s">
        <v>59</v>
      </c>
      <c r="B150" s="1">
        <v>45667</v>
      </c>
      <c r="C150" t="s">
        <v>24</v>
      </c>
      <c r="D150">
        <v>20</v>
      </c>
      <c r="E150">
        <v>19</v>
      </c>
      <c r="F150">
        <f t="shared" si="14"/>
        <v>1</v>
      </c>
      <c r="G150" s="2">
        <f t="shared" si="15"/>
        <v>0.05</v>
      </c>
      <c r="H150">
        <v>270</v>
      </c>
      <c r="I150">
        <v>41</v>
      </c>
      <c r="J150" s="3">
        <f t="shared" si="16"/>
        <v>6</v>
      </c>
      <c r="K150" s="3">
        <f t="shared" si="17"/>
        <v>10</v>
      </c>
      <c r="L150" s="4">
        <f t="shared" si="18"/>
        <v>0.6</v>
      </c>
      <c r="M150" s="3">
        <f t="shared" ca="1" si="19"/>
        <v>0.12559534052078566</v>
      </c>
      <c r="N150" s="4">
        <f t="shared" ca="1" si="20"/>
        <v>0.99950953226189709</v>
      </c>
      <c r="P150" s="4" cm="1">
        <f t="array" aca="1" ref="P150" ca="1">IF(K150&lt;=J150,"Need More Agents",
  (POWER(K150,J150)/FACT(K150)*(K150/(K150-J150)))/
  (SUMPRODUCT(POWER(J150,ROW(INDIRECT("1:"&amp;K150))-1)/FACT(ROW(INDIRECT("1:"&amp;K150))-1))+
  (POWER(K150,J150)/FACT(K150)*(K150/(K150-J150)))))</f>
        <v>1.8606717114190469E-3</v>
      </c>
    </row>
    <row r="151" spans="1:16" x14ac:dyDescent="0.2">
      <c r="A151" t="s">
        <v>59</v>
      </c>
      <c r="B151" s="1">
        <v>45667</v>
      </c>
      <c r="C151" t="s">
        <v>25</v>
      </c>
      <c r="D151">
        <v>14</v>
      </c>
      <c r="E151">
        <v>14</v>
      </c>
      <c r="F151">
        <f t="shared" si="14"/>
        <v>0</v>
      </c>
      <c r="G151" s="2">
        <f t="shared" si="15"/>
        <v>0</v>
      </c>
      <c r="H151">
        <v>264</v>
      </c>
      <c r="I151">
        <v>27</v>
      </c>
      <c r="J151" s="3">
        <f t="shared" si="16"/>
        <v>4.1066666666666665</v>
      </c>
      <c r="K151" s="3">
        <f t="shared" si="17"/>
        <v>8</v>
      </c>
      <c r="L151" s="4">
        <f t="shared" si="18"/>
        <v>0.51333333333333331</v>
      </c>
      <c r="M151" s="3">
        <f t="shared" ca="1" si="19"/>
        <v>0.30730784035639291</v>
      </c>
      <c r="N151" s="4">
        <f t="shared" ca="1" si="20"/>
        <v>0.99879811177515432</v>
      </c>
      <c r="P151" s="4" cm="1">
        <f t="array" aca="1" ref="P151" ca="1">IF(K151&lt;=J151,"Need More Agents",
  (POWER(K151,J151)/FACT(K151)*(K151/(K151-J151)))/
  (SUMPRODUCT(POWER(J151,ROW(INDIRECT("1:"&amp;K151))-1)/FACT(ROW(INDIRECT("1:"&amp;K151))-1))+
  (POWER(K151,J151)/FACT(K151)*(K151/(K151-J151)))))</f>
        <v>4.5320146153569061E-3</v>
      </c>
    </row>
    <row r="152" spans="1:16" x14ac:dyDescent="0.2">
      <c r="A152" t="s">
        <v>59</v>
      </c>
      <c r="B152" s="1">
        <v>45667</v>
      </c>
      <c r="C152" t="s">
        <v>26</v>
      </c>
      <c r="D152">
        <v>11</v>
      </c>
      <c r="E152">
        <v>11</v>
      </c>
      <c r="F152">
        <f t="shared" si="14"/>
        <v>0</v>
      </c>
      <c r="G152" s="2">
        <f t="shared" si="15"/>
        <v>0</v>
      </c>
      <c r="H152">
        <v>270</v>
      </c>
      <c r="I152">
        <v>24</v>
      </c>
      <c r="J152" s="3">
        <f t="shared" si="16"/>
        <v>3.3</v>
      </c>
      <c r="K152" s="3">
        <f t="shared" si="17"/>
        <v>7</v>
      </c>
      <c r="L152" s="4">
        <f t="shared" si="18"/>
        <v>0.47142857142857142</v>
      </c>
      <c r="M152" s="3">
        <f t="shared" ca="1" si="19"/>
        <v>0.64881217474328701</v>
      </c>
      <c r="N152" s="4">
        <f t="shared" ca="1" si="20"/>
        <v>0.99740983703401687</v>
      </c>
      <c r="P152" s="4" cm="1">
        <f t="array" aca="1" ref="P152" ca="1">IF(K152&lt;=J152,"Need More Agents",
  (POWER(K152,J152)/FACT(K152)*(K152/(K152-J152)))/
  (SUMPRODUCT(POWER(J152,ROW(INDIRECT("1:"&amp;K152))-1)/FACT(ROW(INDIRECT("1:"&amp;K152))-1))+
  (POWER(K152,J152)/FACT(K152)*(K152/(K152-J152)))))</f>
        <v>8.891129802037637E-3</v>
      </c>
    </row>
    <row r="153" spans="1:16" x14ac:dyDescent="0.2">
      <c r="A153" t="s">
        <v>59</v>
      </c>
      <c r="B153" s="1">
        <v>45667</v>
      </c>
      <c r="C153" t="s">
        <v>27</v>
      </c>
      <c r="D153">
        <v>9</v>
      </c>
      <c r="E153">
        <v>9</v>
      </c>
      <c r="F153">
        <f t="shared" si="14"/>
        <v>0</v>
      </c>
      <c r="G153" s="2">
        <f t="shared" si="15"/>
        <v>0</v>
      </c>
      <c r="H153">
        <v>264</v>
      </c>
      <c r="I153">
        <v>22</v>
      </c>
      <c r="J153" s="3">
        <f t="shared" si="16"/>
        <v>2.64</v>
      </c>
      <c r="K153" s="3">
        <f t="shared" si="17"/>
        <v>6</v>
      </c>
      <c r="L153" s="4">
        <f t="shared" si="18"/>
        <v>0.44</v>
      </c>
      <c r="M153" s="3">
        <f t="shared" ca="1" si="19"/>
        <v>1.6279460847381793</v>
      </c>
      <c r="N153" s="4">
        <f t="shared" ca="1" si="20"/>
        <v>0.99340961509723169</v>
      </c>
      <c r="P153" s="4" cm="1">
        <f t="array" aca="1" ref="P153" ca="1">IF(K153&lt;=J153,"Need More Agents",
  (POWER(K153,J153)/FACT(K153)*(K153/(K153-J153)))/
  (SUMPRODUCT(POWER(J153,ROW(INDIRECT("1:"&amp;K153))-1)/FACT(ROW(INDIRECT("1:"&amp;K153))-1))+
  (POWER(K153,J153)/FACT(K153)*(K153/(K153-J153)))))</f>
        <v>2.0719313805758643E-2</v>
      </c>
    </row>
    <row r="154" spans="1:16" x14ac:dyDescent="0.2">
      <c r="A154" t="s">
        <v>59</v>
      </c>
      <c r="B154" s="1">
        <v>45667</v>
      </c>
      <c r="C154" t="s">
        <v>28</v>
      </c>
      <c r="D154">
        <v>24</v>
      </c>
      <c r="E154">
        <v>23</v>
      </c>
      <c r="F154">
        <f t="shared" si="14"/>
        <v>1</v>
      </c>
      <c r="G154" s="2">
        <f t="shared" si="15"/>
        <v>4.1666666666666664E-2</v>
      </c>
      <c r="H154">
        <v>276</v>
      </c>
      <c r="I154">
        <v>43</v>
      </c>
      <c r="J154" s="3">
        <f t="shared" si="16"/>
        <v>7.36</v>
      </c>
      <c r="K154" s="3">
        <f t="shared" si="17"/>
        <v>12</v>
      </c>
      <c r="L154" s="4">
        <f t="shared" si="18"/>
        <v>0.6133333333333334</v>
      </c>
      <c r="M154" s="3">
        <f t="shared" ca="1" si="19"/>
        <v>1.9278575259468057E-2</v>
      </c>
      <c r="N154" s="4">
        <f t="shared" ca="1" si="20"/>
        <v>0.99992861985921699</v>
      </c>
      <c r="P154" s="4" cm="1">
        <f t="array" aca="1" ref="P154" ca="1">IF(K154&lt;=J154,"Need More Agents",
  (POWER(K154,J154)/FACT(K154)*(K154/(K154-J154)))/
  (SUMPRODUCT(POWER(J154,ROW(INDIRECT("1:"&amp;K154))-1)/FACT(ROW(INDIRECT("1:"&amp;K154))-1))+
  (POWER(K154,J154)/FACT(K154)*(K154/(K154-J154)))))</f>
        <v>3.2410358407221655E-4</v>
      </c>
    </row>
    <row r="155" spans="1:16" x14ac:dyDescent="0.2">
      <c r="A155" t="s">
        <v>59</v>
      </c>
      <c r="B155" s="1">
        <v>45667</v>
      </c>
      <c r="C155" t="s">
        <v>29</v>
      </c>
      <c r="D155">
        <v>17</v>
      </c>
      <c r="E155">
        <v>17</v>
      </c>
      <c r="F155">
        <f t="shared" si="14"/>
        <v>0</v>
      </c>
      <c r="G155" s="2">
        <f t="shared" si="15"/>
        <v>0</v>
      </c>
      <c r="H155">
        <v>270</v>
      </c>
      <c r="I155">
        <v>31</v>
      </c>
      <c r="J155" s="3">
        <f t="shared" si="16"/>
        <v>5.0999999999999996</v>
      </c>
      <c r="K155" s="3">
        <f t="shared" si="17"/>
        <v>9</v>
      </c>
      <c r="L155" s="4">
        <f t="shared" si="18"/>
        <v>0.56666666666666665</v>
      </c>
      <c r="M155" s="3">
        <f t="shared" ca="1" si="19"/>
        <v>0.21275751659353023</v>
      </c>
      <c r="N155" s="4">
        <f t="shared" ca="1" si="20"/>
        <v>0.99916246506975215</v>
      </c>
      <c r="P155" s="4" cm="1">
        <f t="array" aca="1" ref="P155" ca="1">IF(K155&lt;=J155,"Need More Agents",
  (POWER(K155,J155)/FACT(K155)*(K155/(K155-J155)))/
  (SUMPRODUCT(POWER(J155,ROW(INDIRECT("1:"&amp;K155))-1)/FACT(ROW(INDIRECT("1:"&amp;K155))-1))+
  (POWER(K155,J155)/FACT(K155)*(K155/(K155-J155)))))</f>
        <v>3.0731641285732148E-3</v>
      </c>
    </row>
    <row r="156" spans="1:16" x14ac:dyDescent="0.2">
      <c r="A156" t="s">
        <v>59</v>
      </c>
      <c r="B156" s="1">
        <v>45667</v>
      </c>
      <c r="C156" t="s">
        <v>30</v>
      </c>
      <c r="D156">
        <v>14</v>
      </c>
      <c r="E156">
        <v>14</v>
      </c>
      <c r="F156">
        <f t="shared" si="14"/>
        <v>0</v>
      </c>
      <c r="G156" s="2">
        <f t="shared" si="15"/>
        <v>0</v>
      </c>
      <c r="H156">
        <v>264</v>
      </c>
      <c r="I156">
        <v>27</v>
      </c>
      <c r="J156" s="3">
        <f t="shared" si="16"/>
        <v>4.1066666666666665</v>
      </c>
      <c r="K156" s="3">
        <f t="shared" si="17"/>
        <v>8</v>
      </c>
      <c r="L156" s="4">
        <f t="shared" si="18"/>
        <v>0.51333333333333331</v>
      </c>
      <c r="M156" s="3">
        <f t="shared" ca="1" si="19"/>
        <v>0.30730784035639291</v>
      </c>
      <c r="N156" s="4">
        <f t="shared" ca="1" si="20"/>
        <v>0.99879811177515432</v>
      </c>
      <c r="P156" s="4" cm="1">
        <f t="array" aca="1" ref="P156" ca="1">IF(K156&lt;=J156,"Need More Agents",
  (POWER(K156,J156)/FACT(K156)*(K156/(K156-J156)))/
  (SUMPRODUCT(POWER(J156,ROW(INDIRECT("1:"&amp;K156))-1)/FACT(ROW(INDIRECT("1:"&amp;K156))-1))+
  (POWER(K156,J156)/FACT(K156)*(K156/(K156-J156)))))</f>
        <v>4.5320146153569061E-3</v>
      </c>
    </row>
    <row r="157" spans="1:16" x14ac:dyDescent="0.2">
      <c r="A157" t="s">
        <v>59</v>
      </c>
      <c r="B157" s="1">
        <v>45667</v>
      </c>
      <c r="C157" t="s">
        <v>31</v>
      </c>
      <c r="D157">
        <v>11</v>
      </c>
      <c r="E157">
        <v>11</v>
      </c>
      <c r="F157">
        <f t="shared" si="14"/>
        <v>0</v>
      </c>
      <c r="G157" s="2">
        <f t="shared" si="15"/>
        <v>0</v>
      </c>
      <c r="H157">
        <v>270</v>
      </c>
      <c r="I157">
        <v>24</v>
      </c>
      <c r="J157" s="3">
        <f t="shared" si="16"/>
        <v>3.3</v>
      </c>
      <c r="K157" s="3">
        <f t="shared" si="17"/>
        <v>7</v>
      </c>
      <c r="L157" s="4">
        <f t="shared" si="18"/>
        <v>0.47142857142857142</v>
      </c>
      <c r="M157" s="3">
        <f t="shared" ca="1" si="19"/>
        <v>0.64881217474328701</v>
      </c>
      <c r="N157" s="4">
        <f t="shared" ca="1" si="20"/>
        <v>0.99740983703401687</v>
      </c>
      <c r="P157" s="4" cm="1">
        <f t="array" aca="1" ref="P157" ca="1">IF(K157&lt;=J157,"Need More Agents",
  (POWER(K157,J157)/FACT(K157)*(K157/(K157-J157)))/
  (SUMPRODUCT(POWER(J157,ROW(INDIRECT("1:"&amp;K157))-1)/FACT(ROW(INDIRECT("1:"&amp;K157))-1))+
  (POWER(K157,J157)/FACT(K157)*(K157/(K157-J157)))))</f>
        <v>8.891129802037637E-3</v>
      </c>
    </row>
    <row r="158" spans="1:16" x14ac:dyDescent="0.2">
      <c r="A158" t="s">
        <v>59</v>
      </c>
      <c r="B158" s="1">
        <v>45667</v>
      </c>
      <c r="C158" t="s">
        <v>32</v>
      </c>
      <c r="D158">
        <v>22</v>
      </c>
      <c r="E158">
        <v>21</v>
      </c>
      <c r="F158">
        <f t="shared" si="14"/>
        <v>1</v>
      </c>
      <c r="G158" s="2">
        <f t="shared" si="15"/>
        <v>4.5454545454545456E-2</v>
      </c>
      <c r="H158">
        <v>276</v>
      </c>
      <c r="I158">
        <v>42</v>
      </c>
      <c r="J158" s="3">
        <f t="shared" si="16"/>
        <v>6.746666666666667</v>
      </c>
      <c r="K158" s="3">
        <f t="shared" si="17"/>
        <v>11</v>
      </c>
      <c r="L158" s="4">
        <f t="shared" si="18"/>
        <v>0.6133333333333334</v>
      </c>
      <c r="M158" s="3">
        <f t="shared" ca="1" si="19"/>
        <v>5.7032630369682612E-2</v>
      </c>
      <c r="N158" s="4">
        <f t="shared" ca="1" si="20"/>
        <v>0.99978041828361675</v>
      </c>
      <c r="P158" s="4" cm="1">
        <f t="array" aca="1" ref="P158" ca="1">IF(K158&lt;=J158,"Need More Agents",
  (POWER(K158,J158)/FACT(K158)*(K158/(K158-J158)))/
  (SUMPRODUCT(POWER(J158,ROW(INDIRECT("1:"&amp;K158))-1)/FACT(ROW(INDIRECT("1:"&amp;K158))-1))+
  (POWER(K158,J158)/FACT(K158)*(K158/(K158-J158)))))</f>
        <v>8.7890865159076092E-4</v>
      </c>
    </row>
    <row r="159" spans="1:16" x14ac:dyDescent="0.2">
      <c r="A159" t="s">
        <v>59</v>
      </c>
      <c r="B159" s="1">
        <v>45667</v>
      </c>
      <c r="C159" t="s">
        <v>33</v>
      </c>
      <c r="D159">
        <v>15</v>
      </c>
      <c r="E159">
        <v>15</v>
      </c>
      <c r="F159">
        <f t="shared" si="14"/>
        <v>0</v>
      </c>
      <c r="G159" s="2">
        <f t="shared" si="15"/>
        <v>0</v>
      </c>
      <c r="H159">
        <v>270</v>
      </c>
      <c r="I159">
        <v>28</v>
      </c>
      <c r="J159" s="3">
        <f t="shared" si="16"/>
        <v>4.5</v>
      </c>
      <c r="K159" s="3">
        <f t="shared" si="17"/>
        <v>8</v>
      </c>
      <c r="L159" s="4">
        <f t="shared" si="18"/>
        <v>0.5625</v>
      </c>
      <c r="M159" s="3">
        <f t="shared" ca="1" si="19"/>
        <v>0.61129986945873616</v>
      </c>
      <c r="N159" s="4">
        <f t="shared" ca="1" si="20"/>
        <v>0.99753236064648854</v>
      </c>
      <c r="P159" s="4" cm="1">
        <f t="array" aca="1" ref="P159" ca="1">IF(K159&lt;=J159,"Need More Agents",
  (POWER(K159,J159)/FACT(K159)*(K159/(K159-J159)))/
  (SUMPRODUCT(POWER(J159,ROW(INDIRECT("1:"&amp;K159))-1)/FACT(ROW(INDIRECT("1:"&amp;K159))-1))+
  (POWER(K159,J159)/FACT(K159)*(K159/(K159-J159)))))</f>
        <v>7.9242575670576913E-3</v>
      </c>
    </row>
    <row r="160" spans="1:16" x14ac:dyDescent="0.2">
      <c r="A160" t="s">
        <v>59</v>
      </c>
      <c r="B160" s="1">
        <v>45667</v>
      </c>
      <c r="C160" t="s">
        <v>34</v>
      </c>
      <c r="D160">
        <v>13</v>
      </c>
      <c r="E160">
        <v>13</v>
      </c>
      <c r="F160">
        <f t="shared" si="14"/>
        <v>0</v>
      </c>
      <c r="G160" s="2">
        <f t="shared" si="15"/>
        <v>0</v>
      </c>
      <c r="H160">
        <v>264</v>
      </c>
      <c r="I160">
        <v>26</v>
      </c>
      <c r="J160" s="3">
        <f t="shared" si="16"/>
        <v>3.8133333333333335</v>
      </c>
      <c r="K160" s="3">
        <f t="shared" si="17"/>
        <v>7</v>
      </c>
      <c r="L160" s="4">
        <f t="shared" si="18"/>
        <v>0.54476190476190478</v>
      </c>
      <c r="M160" s="3">
        <f t="shared" ca="1" si="19"/>
        <v>1.4404387981796287</v>
      </c>
      <c r="N160" s="4">
        <f t="shared" ca="1" si="20"/>
        <v>0.99413286895292141</v>
      </c>
      <c r="P160" s="4" cm="1">
        <f t="array" aca="1" ref="P160" ca="1">IF(K160&lt;=J160,"Need More Agents",
  (POWER(K160,J160)/FACT(K160)*(K160/(K160-J160)))/
  (SUMPRODUCT(POWER(J160,ROW(INDIRECT("1:"&amp;K160))-1)/FACT(ROW(INDIRECT("1:"&amp;K160))-1))+
  (POWER(K160,J160)/FACT(K160)*(K160/(K160-J160)))))</f>
        <v>1.7387114786107639E-2</v>
      </c>
    </row>
    <row r="161" spans="1:16" x14ac:dyDescent="0.2">
      <c r="A161" t="s">
        <v>59</v>
      </c>
      <c r="B161" s="1">
        <v>45667</v>
      </c>
      <c r="C161" t="s">
        <v>35</v>
      </c>
      <c r="D161">
        <v>10</v>
      </c>
      <c r="E161">
        <v>10</v>
      </c>
      <c r="F161">
        <f t="shared" si="14"/>
        <v>0</v>
      </c>
      <c r="G161" s="2">
        <f t="shared" si="15"/>
        <v>0</v>
      </c>
      <c r="H161">
        <v>270</v>
      </c>
      <c r="I161">
        <v>23</v>
      </c>
      <c r="J161" s="3">
        <f t="shared" si="16"/>
        <v>3</v>
      </c>
      <c r="K161" s="3">
        <f t="shared" si="17"/>
        <v>6</v>
      </c>
      <c r="L161" s="4">
        <f t="shared" si="18"/>
        <v>0.5</v>
      </c>
      <c r="M161" s="3">
        <f t="shared" ca="1" si="19"/>
        <v>2.8421052631578951</v>
      </c>
      <c r="N161" s="4">
        <f t="shared" ca="1" si="20"/>
        <v>0.98838275448932289</v>
      </c>
      <c r="P161" s="4" cm="1">
        <f t="array" aca="1" ref="P161" ca="1">IF(K161&lt;=J161,"Need More Agents",
  (POWER(K161,J161)/FACT(K161)*(K161/(K161-J161)))/
  (SUMPRODUCT(POWER(J161,ROW(INDIRECT("1:"&amp;K161))-1)/FACT(ROW(INDIRECT("1:"&amp;K161))-1))+
  (POWER(K161,J161)/FACT(K161)*(K161/(K161-J161)))))</f>
        <v>3.1578947368421054E-2</v>
      </c>
    </row>
    <row r="162" spans="1:16" x14ac:dyDescent="0.2">
      <c r="A162" t="s">
        <v>59</v>
      </c>
      <c r="B162" s="1">
        <v>45667</v>
      </c>
      <c r="C162" t="s">
        <v>36</v>
      </c>
      <c r="D162">
        <v>16</v>
      </c>
      <c r="E162">
        <v>15</v>
      </c>
      <c r="F162">
        <f t="shared" si="14"/>
        <v>1</v>
      </c>
      <c r="G162" s="2">
        <f t="shared" si="15"/>
        <v>6.25E-2</v>
      </c>
      <c r="H162">
        <v>264</v>
      </c>
      <c r="I162">
        <v>39</v>
      </c>
      <c r="J162" s="3">
        <f t="shared" si="16"/>
        <v>4.6933333333333334</v>
      </c>
      <c r="K162" s="3">
        <f t="shared" si="17"/>
        <v>8</v>
      </c>
      <c r="L162" s="4">
        <f t="shared" si="18"/>
        <v>0.58666666666666667</v>
      </c>
      <c r="M162" s="3">
        <f t="shared" ca="1" si="19"/>
        <v>0.83830861505329679</v>
      </c>
      <c r="N162" s="4">
        <f t="shared" ca="1" si="20"/>
        <v>0.99659887890663468</v>
      </c>
      <c r="P162" s="4" cm="1">
        <f t="array" aca="1" ref="P162" ca="1">IF(K162&lt;=J162,"Need More Agents",
  (POWER(K162,J162)/FACT(K162)*(K162/(K162-J162)))/
  (SUMPRODUCT(POWER(J162,ROW(INDIRECT("1:"&amp;K162))-1)/FACT(ROW(INDIRECT("1:"&amp;K162))-1))+
  (POWER(K162,J162)/FACT(K162)*(K162/(K162-J162)))))</f>
        <v>1.0500027097637253E-2</v>
      </c>
    </row>
    <row r="163" spans="1:16" x14ac:dyDescent="0.2">
      <c r="A163" t="s">
        <v>59</v>
      </c>
      <c r="B163" s="1">
        <v>45667</v>
      </c>
      <c r="C163" t="s">
        <v>37</v>
      </c>
      <c r="D163">
        <v>11</v>
      </c>
      <c r="E163">
        <v>11</v>
      </c>
      <c r="F163">
        <f t="shared" si="14"/>
        <v>0</v>
      </c>
      <c r="G163" s="2">
        <f t="shared" si="15"/>
        <v>0</v>
      </c>
      <c r="H163">
        <v>270</v>
      </c>
      <c r="I163">
        <v>24</v>
      </c>
      <c r="J163" s="3">
        <f t="shared" si="16"/>
        <v>3.3</v>
      </c>
      <c r="K163" s="3">
        <f t="shared" si="17"/>
        <v>7</v>
      </c>
      <c r="L163" s="4">
        <f t="shared" si="18"/>
        <v>0.47142857142857142</v>
      </c>
      <c r="M163" s="3">
        <f t="shared" ca="1" si="19"/>
        <v>0.64881217474328701</v>
      </c>
      <c r="N163" s="4">
        <f t="shared" ca="1" si="20"/>
        <v>0.99740983703401687</v>
      </c>
      <c r="P163" s="4" cm="1">
        <f t="array" aca="1" ref="P163" ca="1">IF(K163&lt;=J163,"Need More Agents",
  (POWER(K163,J163)/FACT(K163)*(K163/(K163-J163)))/
  (SUMPRODUCT(POWER(J163,ROW(INDIRECT("1:"&amp;K163))-1)/FACT(ROW(INDIRECT("1:"&amp;K163))-1))+
  (POWER(K163,J163)/FACT(K163)*(K163/(K163-J163)))))</f>
        <v>8.891129802037637E-3</v>
      </c>
    </row>
    <row r="164" spans="1:16" x14ac:dyDescent="0.2">
      <c r="A164" t="s">
        <v>59</v>
      </c>
      <c r="B164" s="1">
        <v>45667</v>
      </c>
      <c r="C164" t="s">
        <v>38</v>
      </c>
      <c r="D164">
        <v>9</v>
      </c>
      <c r="E164">
        <v>9</v>
      </c>
      <c r="F164">
        <f t="shared" si="14"/>
        <v>0</v>
      </c>
      <c r="G164" s="2">
        <f t="shared" si="15"/>
        <v>0</v>
      </c>
      <c r="H164">
        <v>264</v>
      </c>
      <c r="I164">
        <v>22</v>
      </c>
      <c r="J164" s="3">
        <f t="shared" si="16"/>
        <v>2.64</v>
      </c>
      <c r="K164" s="3">
        <f t="shared" si="17"/>
        <v>6</v>
      </c>
      <c r="L164" s="4">
        <f t="shared" si="18"/>
        <v>0.44</v>
      </c>
      <c r="M164" s="3">
        <f t="shared" ca="1" si="19"/>
        <v>1.6279460847381793</v>
      </c>
      <c r="N164" s="4">
        <f t="shared" ca="1" si="20"/>
        <v>0.99340961509723169</v>
      </c>
      <c r="P164" s="4" cm="1">
        <f t="array" aca="1" ref="P164" ca="1">IF(K164&lt;=J164,"Need More Agents",
  (POWER(K164,J164)/FACT(K164)*(K164/(K164-J164)))/
  (SUMPRODUCT(POWER(J164,ROW(INDIRECT("1:"&amp;K164))-1)/FACT(ROW(INDIRECT("1:"&amp;K164))-1))+
  (POWER(K164,J164)/FACT(K164)*(K164/(K164-J164)))))</f>
        <v>2.0719313805758643E-2</v>
      </c>
    </row>
    <row r="165" spans="1:16" x14ac:dyDescent="0.2">
      <c r="A165" t="s">
        <v>59</v>
      </c>
      <c r="B165" s="1">
        <v>45667</v>
      </c>
      <c r="C165" t="s">
        <v>39</v>
      </c>
      <c r="D165">
        <v>7</v>
      </c>
      <c r="E165">
        <v>7</v>
      </c>
      <c r="F165">
        <f t="shared" si="14"/>
        <v>0</v>
      </c>
      <c r="G165" s="2">
        <f t="shared" si="15"/>
        <v>0</v>
      </c>
      <c r="H165">
        <v>270</v>
      </c>
      <c r="I165">
        <v>20</v>
      </c>
      <c r="J165" s="3">
        <f t="shared" si="16"/>
        <v>2.1</v>
      </c>
      <c r="K165" s="3">
        <f t="shared" si="17"/>
        <v>5</v>
      </c>
      <c r="L165" s="4">
        <f t="shared" si="18"/>
        <v>0.42000000000000004</v>
      </c>
      <c r="M165" s="3">
        <f t="shared" ca="1" si="19"/>
        <v>4.8611786754411463</v>
      </c>
      <c r="N165" s="4">
        <f t="shared" ca="1" si="20"/>
        <v>0.98014097974884984</v>
      </c>
      <c r="P165" s="4" cm="1">
        <f t="array" aca="1" ref="P165" ca="1">IF(K165&lt;=J165,"Need More Agents",
  (POWER(K165,J165)/FACT(K165)*(K165/(K165-J165)))/
  (SUMPRODUCT(POWER(J165,ROW(INDIRECT("1:"&amp;K165))-1)/FACT(ROW(INDIRECT("1:"&amp;K165))-1))+
  (POWER(K165,J165)/FACT(K165)*(K165/(K165-J165)))))</f>
        <v>5.2212659847330832E-2</v>
      </c>
    </row>
    <row r="166" spans="1:16" x14ac:dyDescent="0.2">
      <c r="A166" t="s">
        <v>59</v>
      </c>
      <c r="B166" s="1">
        <v>45667</v>
      </c>
      <c r="C166" t="s">
        <v>40</v>
      </c>
      <c r="D166">
        <v>18</v>
      </c>
      <c r="E166">
        <v>17</v>
      </c>
      <c r="F166">
        <f t="shared" si="14"/>
        <v>1</v>
      </c>
      <c r="G166" s="2">
        <f t="shared" si="15"/>
        <v>5.5555555555555552E-2</v>
      </c>
      <c r="H166">
        <v>276</v>
      </c>
      <c r="I166">
        <v>40</v>
      </c>
      <c r="J166" s="3">
        <f t="shared" si="16"/>
        <v>5.52</v>
      </c>
      <c r="K166" s="3">
        <f t="shared" si="17"/>
        <v>10</v>
      </c>
      <c r="L166" s="4">
        <f t="shared" si="18"/>
        <v>0.55199999999999994</v>
      </c>
      <c r="M166" s="3">
        <f t="shared" ca="1" si="19"/>
        <v>5.3136855835705404E-2</v>
      </c>
      <c r="N166" s="4">
        <f t="shared" ca="1" si="20"/>
        <v>0.99979986769646978</v>
      </c>
      <c r="P166" s="4" cm="1">
        <f t="array" aca="1" ref="P166" ca="1">IF(K166&lt;=J166,"Need More Agents",
  (POWER(K166,J166)/FACT(K166)*(K166/(K166-J166)))/
  (SUMPRODUCT(POWER(J166,ROW(INDIRECT("1:"&amp;K166))-1)/FACT(ROW(INDIRECT("1:"&amp;K166))-1))+
  (POWER(K166,J166)/FACT(K166)*(K166/(K166-J166)))))</f>
        <v>8.6251128313029075E-4</v>
      </c>
    </row>
    <row r="167" spans="1:16" x14ac:dyDescent="0.2">
      <c r="A167" t="s">
        <v>59</v>
      </c>
      <c r="B167" s="1">
        <v>45667</v>
      </c>
      <c r="C167" t="s">
        <v>41</v>
      </c>
      <c r="D167">
        <v>13</v>
      </c>
      <c r="E167">
        <v>13</v>
      </c>
      <c r="F167">
        <f t="shared" si="14"/>
        <v>0</v>
      </c>
      <c r="G167" s="2">
        <f t="shared" si="15"/>
        <v>0</v>
      </c>
      <c r="H167">
        <v>270</v>
      </c>
      <c r="I167">
        <v>27</v>
      </c>
      <c r="J167" s="3">
        <f t="shared" si="16"/>
        <v>3.9</v>
      </c>
      <c r="K167" s="3">
        <f t="shared" si="17"/>
        <v>7</v>
      </c>
      <c r="L167" s="4">
        <f t="shared" si="18"/>
        <v>0.55714285714285716</v>
      </c>
      <c r="M167" s="3">
        <f t="shared" ca="1" si="19"/>
        <v>1.7016866732250886</v>
      </c>
      <c r="N167" s="4">
        <f t="shared" ca="1" si="20"/>
        <v>0.99304805123538997</v>
      </c>
      <c r="P167" s="4" cm="1">
        <f t="array" aca="1" ref="P167" ca="1">IF(K167&lt;=J167,"Need More Agents",
  (POWER(K167,J167)/FACT(K167)*(K167/(K167-J167)))/
  (SUMPRODUCT(POWER(J167,ROW(INDIRECT("1:"&amp;K167))-1)/FACT(ROW(INDIRECT("1:"&amp;K167))-1))+
  (POWER(K167,J167)/FACT(K167)*(K167/(K167-J167)))))</f>
        <v>1.9537884025917683E-2</v>
      </c>
    </row>
    <row r="168" spans="1:16" x14ac:dyDescent="0.2">
      <c r="A168" t="s">
        <v>59</v>
      </c>
      <c r="B168" s="1">
        <v>45667</v>
      </c>
      <c r="C168" t="s">
        <v>42</v>
      </c>
      <c r="D168">
        <v>10</v>
      </c>
      <c r="E168">
        <v>10</v>
      </c>
      <c r="F168">
        <f t="shared" si="14"/>
        <v>0</v>
      </c>
      <c r="G168" s="2">
        <f t="shared" si="15"/>
        <v>0</v>
      </c>
      <c r="H168">
        <v>264</v>
      </c>
      <c r="I168">
        <v>23</v>
      </c>
      <c r="J168" s="3">
        <f t="shared" si="16"/>
        <v>2.9333333333333331</v>
      </c>
      <c r="K168" s="3">
        <f t="shared" si="17"/>
        <v>6</v>
      </c>
      <c r="L168" s="4">
        <f t="shared" si="18"/>
        <v>0.48888888888888887</v>
      </c>
      <c r="M168" s="3">
        <f t="shared" ca="1" si="19"/>
        <v>2.5109704880973625</v>
      </c>
      <c r="N168" s="4">
        <f t="shared" ca="1" si="20"/>
        <v>0.98974657134244404</v>
      </c>
      <c r="P168" s="4" cm="1">
        <f t="array" aca="1" ref="P168" ca="1">IF(K168&lt;=J168,"Need More Agents",
  (POWER(K168,J168)/FACT(K168)*(K168/(K168-J168)))/
  (SUMPRODUCT(POWER(J168,ROW(INDIRECT("1:"&amp;K168))-1)/FACT(ROW(INDIRECT("1:"&amp;K168))-1))+
  (POWER(K168,J168)/FACT(K168)*(K168/(K168-J168)))))</f>
        <v>2.9167839003151182E-2</v>
      </c>
    </row>
    <row r="169" spans="1:16" x14ac:dyDescent="0.2">
      <c r="A169" t="s">
        <v>59</v>
      </c>
      <c r="B169" s="1">
        <v>45667</v>
      </c>
      <c r="C169" t="s">
        <v>43</v>
      </c>
      <c r="D169">
        <v>8</v>
      </c>
      <c r="E169">
        <v>8</v>
      </c>
      <c r="F169">
        <f t="shared" si="14"/>
        <v>0</v>
      </c>
      <c r="G169" s="2">
        <f t="shared" si="15"/>
        <v>0</v>
      </c>
      <c r="H169">
        <v>270</v>
      </c>
      <c r="I169">
        <v>21</v>
      </c>
      <c r="J169" s="3">
        <f t="shared" si="16"/>
        <v>2.4</v>
      </c>
      <c r="K169" s="3">
        <f t="shared" si="17"/>
        <v>5</v>
      </c>
      <c r="L169" s="4">
        <f t="shared" si="18"/>
        <v>0.48</v>
      </c>
      <c r="M169" s="3">
        <f t="shared" ca="1" si="19"/>
        <v>7.3819530344803725</v>
      </c>
      <c r="N169" s="4">
        <f t="shared" ca="1" si="20"/>
        <v>0.97011919381178136</v>
      </c>
      <c r="P169" s="4" cm="1">
        <f t="array" aca="1" ref="P169" ca="1">IF(K169&lt;=J169,"Need More Agents",
  (POWER(K169,J169)/FACT(K169)*(K169/(K169-J169)))/
  (SUMPRODUCT(POWER(J169,ROW(INDIRECT("1:"&amp;K169))-1)/FACT(ROW(INDIRECT("1:"&amp;K169))-1))+
  (POWER(K169,J169)/FACT(K169)*(K169/(K169-J169)))))</f>
        <v>7.108547366536655E-2</v>
      </c>
    </row>
    <row r="170" spans="1:16" x14ac:dyDescent="0.2">
      <c r="A170" t="s">
        <v>59</v>
      </c>
      <c r="B170" s="1">
        <v>45667</v>
      </c>
      <c r="C170" t="s">
        <v>44</v>
      </c>
      <c r="D170">
        <v>21</v>
      </c>
      <c r="E170">
        <v>20</v>
      </c>
      <c r="F170">
        <f t="shared" si="14"/>
        <v>1</v>
      </c>
      <c r="G170" s="2">
        <f t="shared" si="15"/>
        <v>4.7619047619047616E-2</v>
      </c>
      <c r="H170">
        <v>276</v>
      </c>
      <c r="I170">
        <v>42</v>
      </c>
      <c r="J170" s="3">
        <f t="shared" si="16"/>
        <v>6.44</v>
      </c>
      <c r="K170" s="3">
        <f t="shared" si="17"/>
        <v>11</v>
      </c>
      <c r="L170" s="4">
        <f t="shared" si="18"/>
        <v>0.58545454545454545</v>
      </c>
      <c r="M170" s="3">
        <f t="shared" ca="1" si="19"/>
        <v>3.1711354796247822E-2</v>
      </c>
      <c r="N170" s="4">
        <f t="shared" ca="1" si="20"/>
        <v>0.99988156132367445</v>
      </c>
      <c r="P170" s="4" cm="1">
        <f t="array" aca="1" ref="P170" ca="1">IF(K170&lt;=J170,"Need More Agents",
  (POWER(K170,J170)/FACT(K170)*(K170/(K170-J170)))/
  (SUMPRODUCT(POWER(J170,ROW(INDIRECT("1:"&amp;K170))-1)/FACT(ROW(INDIRECT("1:"&amp;K170))-1))+
  (POWER(K170,J170)/FACT(K170)*(K170/(K170-J170)))))</f>
        <v>5.2392673141626823E-4</v>
      </c>
    </row>
    <row r="171" spans="1:16" x14ac:dyDescent="0.2">
      <c r="A171" t="s">
        <v>59</v>
      </c>
      <c r="B171" s="1">
        <v>45667</v>
      </c>
      <c r="C171" t="s">
        <v>45</v>
      </c>
      <c r="D171">
        <v>15</v>
      </c>
      <c r="E171">
        <v>15</v>
      </c>
      <c r="F171">
        <f t="shared" si="14"/>
        <v>0</v>
      </c>
      <c r="G171" s="2">
        <f t="shared" si="15"/>
        <v>0</v>
      </c>
      <c r="H171">
        <v>270</v>
      </c>
      <c r="I171">
        <v>28</v>
      </c>
      <c r="J171" s="3">
        <f t="shared" si="16"/>
        <v>4.5</v>
      </c>
      <c r="K171" s="3">
        <f t="shared" si="17"/>
        <v>8</v>
      </c>
      <c r="L171" s="4">
        <f t="shared" si="18"/>
        <v>0.5625</v>
      </c>
      <c r="M171" s="3">
        <f t="shared" ca="1" si="19"/>
        <v>0.61129986945873616</v>
      </c>
      <c r="N171" s="4">
        <f t="shared" ca="1" si="20"/>
        <v>0.99753236064648854</v>
      </c>
      <c r="P171" s="4" cm="1">
        <f t="array" aca="1" ref="P171" ca="1">IF(K171&lt;=J171,"Need More Agents",
  (POWER(K171,J171)/FACT(K171)*(K171/(K171-J171)))/
  (SUMPRODUCT(POWER(J171,ROW(INDIRECT("1:"&amp;K171))-1)/FACT(ROW(INDIRECT("1:"&amp;K171))-1))+
  (POWER(K171,J171)/FACT(K171)*(K171/(K171-J171)))))</f>
        <v>7.9242575670576913E-3</v>
      </c>
    </row>
    <row r="172" spans="1:16" x14ac:dyDescent="0.2">
      <c r="A172" t="s">
        <v>59</v>
      </c>
      <c r="B172" s="1">
        <v>45667</v>
      </c>
      <c r="C172" t="s">
        <v>46</v>
      </c>
      <c r="D172">
        <v>12</v>
      </c>
      <c r="E172">
        <v>12</v>
      </c>
      <c r="F172">
        <f t="shared" si="14"/>
        <v>0</v>
      </c>
      <c r="G172" s="2">
        <f t="shared" si="15"/>
        <v>0</v>
      </c>
      <c r="H172">
        <v>264</v>
      </c>
      <c r="I172">
        <v>25</v>
      </c>
      <c r="J172" s="3">
        <f t="shared" si="16"/>
        <v>3.52</v>
      </c>
      <c r="K172" s="3">
        <f t="shared" si="17"/>
        <v>7</v>
      </c>
      <c r="L172" s="4">
        <f t="shared" si="18"/>
        <v>0.50285714285714289</v>
      </c>
      <c r="M172" s="3">
        <f t="shared" ca="1" si="19"/>
        <v>0.89542505289954177</v>
      </c>
      <c r="N172" s="4">
        <f t="shared" ca="1" si="20"/>
        <v>0.99639609464157242</v>
      </c>
      <c r="P172" s="4" cm="1">
        <f t="array" aca="1" ref="P172" ca="1">IF(K172&lt;=J172,"Need More Agents",
  (POWER(K172,J172)/FACT(K172)*(K172/(K172-J172)))/
  (SUMPRODUCT(POWER(J172,ROW(INDIRECT("1:"&amp;K172))-1)/FACT(ROW(INDIRECT("1:"&amp;K172))-1))+
  (POWER(K172,J172)/FACT(K172)*(K172/(K172-J172)))))</f>
        <v>1.1803330242766686E-2</v>
      </c>
    </row>
    <row r="173" spans="1:16" x14ac:dyDescent="0.2">
      <c r="A173" t="s">
        <v>59</v>
      </c>
      <c r="B173" s="1">
        <v>45667</v>
      </c>
      <c r="C173" t="s">
        <v>47</v>
      </c>
      <c r="D173">
        <v>10</v>
      </c>
      <c r="E173">
        <v>10</v>
      </c>
      <c r="F173">
        <f t="shared" si="14"/>
        <v>0</v>
      </c>
      <c r="G173" s="2">
        <f t="shared" si="15"/>
        <v>0</v>
      </c>
      <c r="H173">
        <v>270</v>
      </c>
      <c r="I173">
        <v>23</v>
      </c>
      <c r="J173" s="3">
        <f t="shared" si="16"/>
        <v>3</v>
      </c>
      <c r="K173" s="3">
        <f t="shared" si="17"/>
        <v>6</v>
      </c>
      <c r="L173" s="4">
        <f t="shared" si="18"/>
        <v>0.5</v>
      </c>
      <c r="M173" s="3">
        <f t="shared" ca="1" si="19"/>
        <v>2.8421052631578951</v>
      </c>
      <c r="N173" s="4">
        <f t="shared" ca="1" si="20"/>
        <v>0.98838275448932289</v>
      </c>
      <c r="P173" s="4" cm="1">
        <f t="array" aca="1" ref="P173" ca="1">IF(K173&lt;=J173,"Need More Agents",
  (POWER(K173,J173)/FACT(K173)*(K173/(K173-J173)))/
  (SUMPRODUCT(POWER(J173,ROW(INDIRECT("1:"&amp;K173))-1)/FACT(ROW(INDIRECT("1:"&amp;K173))-1))+
  (POWER(K173,J173)/FACT(K173)*(K173/(K173-J173)))))</f>
        <v>3.1578947368421054E-2</v>
      </c>
    </row>
    <row r="174" spans="1:16" x14ac:dyDescent="0.2">
      <c r="A174" t="s">
        <v>59</v>
      </c>
      <c r="B174" s="1">
        <v>45667</v>
      </c>
      <c r="C174" t="s">
        <v>48</v>
      </c>
      <c r="D174">
        <v>16</v>
      </c>
      <c r="E174">
        <v>15</v>
      </c>
      <c r="F174">
        <f t="shared" si="14"/>
        <v>1</v>
      </c>
      <c r="G174" s="2">
        <f t="shared" si="15"/>
        <v>6.25E-2</v>
      </c>
      <c r="H174">
        <v>270</v>
      </c>
      <c r="I174">
        <v>39</v>
      </c>
      <c r="J174" s="3">
        <f t="shared" si="16"/>
        <v>4.8</v>
      </c>
      <c r="K174" s="3">
        <f t="shared" si="17"/>
        <v>9</v>
      </c>
      <c r="L174" s="4">
        <f t="shared" si="18"/>
        <v>0.53333333333333333</v>
      </c>
      <c r="M174" s="3">
        <f t="shared" ca="1" si="19"/>
        <v>0.12565773388036613</v>
      </c>
      <c r="N174" s="4">
        <f t="shared" ca="1" si="20"/>
        <v>0.99951798286734495</v>
      </c>
      <c r="P174" s="4" cm="1">
        <f t="array" aca="1" ref="P174" ca="1">IF(K174&lt;=J174,"Need More Agents",
  (POWER(K174,J174)/FACT(K174)*(K174/(K174-J174)))/
  (SUMPRODUCT(POWER(J174,ROW(INDIRECT("1:"&amp;K174))-1)/FACT(ROW(INDIRECT("1:"&amp;K174))-1))+
  (POWER(K174,J174)/FACT(K174)*(K174/(K174-J174)))))</f>
        <v>1.9546758603612509E-3</v>
      </c>
    </row>
    <row r="175" spans="1:16" x14ac:dyDescent="0.2">
      <c r="A175" t="s">
        <v>59</v>
      </c>
      <c r="B175" s="1">
        <v>45667</v>
      </c>
      <c r="C175" t="s">
        <v>49</v>
      </c>
      <c r="D175">
        <v>11</v>
      </c>
      <c r="E175">
        <v>11</v>
      </c>
      <c r="F175">
        <f t="shared" si="14"/>
        <v>0</v>
      </c>
      <c r="G175" s="2">
        <f t="shared" si="15"/>
        <v>0</v>
      </c>
      <c r="H175">
        <v>264</v>
      </c>
      <c r="I175">
        <v>24</v>
      </c>
      <c r="J175" s="3">
        <f t="shared" si="16"/>
        <v>3.2266666666666666</v>
      </c>
      <c r="K175" s="3">
        <f t="shared" si="17"/>
        <v>6</v>
      </c>
      <c r="L175" s="4">
        <f t="shared" si="18"/>
        <v>0.5377777777777778</v>
      </c>
      <c r="M175" s="3">
        <f t="shared" ca="1" si="19"/>
        <v>3.9569032882942223</v>
      </c>
      <c r="N175" s="4">
        <f t="shared" ca="1" si="20"/>
        <v>0.983850916190665</v>
      </c>
      <c r="P175" s="4" cm="1">
        <f t="array" aca="1" ref="P175" ca="1">IF(K175&lt;=J175,"Need More Agents",
  (POWER(K175,J175)/FACT(K175)*(K175/(K175-J175)))/
  (SUMPRODUCT(POWER(J175,ROW(INDIRECT("1:"&amp;K175))-1)/FACT(ROW(INDIRECT("1:"&amp;K175))-1))+
  (POWER(K175,J175)/FACT(K175)*(K175/(K175-J175)))))</f>
        <v>4.1567468887131226E-2</v>
      </c>
    </row>
    <row r="176" spans="1:16" x14ac:dyDescent="0.2">
      <c r="A176" t="s">
        <v>59</v>
      </c>
      <c r="B176" s="1">
        <v>45667</v>
      </c>
      <c r="C176" t="s">
        <v>50</v>
      </c>
      <c r="D176">
        <v>9</v>
      </c>
      <c r="E176">
        <v>9</v>
      </c>
      <c r="F176">
        <f t="shared" si="14"/>
        <v>0</v>
      </c>
      <c r="G176" s="2">
        <f t="shared" si="15"/>
        <v>0</v>
      </c>
      <c r="H176">
        <v>270</v>
      </c>
      <c r="I176">
        <v>22</v>
      </c>
      <c r="J176" s="3">
        <f t="shared" si="16"/>
        <v>2.7</v>
      </c>
      <c r="K176" s="3">
        <f t="shared" si="17"/>
        <v>6</v>
      </c>
      <c r="L176" s="4">
        <f t="shared" si="18"/>
        <v>0.45</v>
      </c>
      <c r="M176" s="3">
        <f t="shared" ca="1" si="19"/>
        <v>1.8162814084395087</v>
      </c>
      <c r="N176" s="4">
        <f t="shared" ca="1" si="20"/>
        <v>0.99261059647999195</v>
      </c>
      <c r="P176" s="4" cm="1">
        <f t="array" aca="1" ref="P176" ca="1">IF(K176&lt;=J176,"Need More Agents",
  (POWER(K176,J176)/FACT(K176)*(K176/(K176-J176)))/
  (SUMPRODUCT(POWER(J176,ROW(INDIRECT("1:"&amp;K176))-1)/FACT(ROW(INDIRECT("1:"&amp;K176))-1))+
  (POWER(K176,J176)/FACT(K176)*(K176/(K176-J176)))))</f>
        <v>2.2198994992038441E-2</v>
      </c>
    </row>
    <row r="177" spans="1:16" x14ac:dyDescent="0.2">
      <c r="A177" t="s">
        <v>59</v>
      </c>
      <c r="B177" s="1">
        <v>45667</v>
      </c>
      <c r="C177" t="s">
        <v>51</v>
      </c>
      <c r="D177">
        <v>7</v>
      </c>
      <c r="E177">
        <v>7</v>
      </c>
      <c r="F177">
        <f t="shared" si="14"/>
        <v>0</v>
      </c>
      <c r="G177" s="2">
        <f t="shared" si="15"/>
        <v>0</v>
      </c>
      <c r="H177">
        <v>264</v>
      </c>
      <c r="I177">
        <v>20</v>
      </c>
      <c r="J177" s="3">
        <f t="shared" si="16"/>
        <v>2.0533333333333332</v>
      </c>
      <c r="K177" s="3">
        <f t="shared" si="17"/>
        <v>5</v>
      </c>
      <c r="L177" s="4">
        <f t="shared" si="18"/>
        <v>0.41066666666666662</v>
      </c>
      <c r="M177" s="3">
        <f t="shared" ca="1" si="19"/>
        <v>4.4643764594863171</v>
      </c>
      <c r="N177" s="4">
        <f t="shared" ca="1" si="20"/>
        <v>0.98175182886698709</v>
      </c>
      <c r="P177" s="4" cm="1">
        <f t="array" aca="1" ref="P177" ca="1">IF(K177&lt;=J177,"Need More Agents",
  (POWER(K177,J177)/FACT(K177)*(K177/(K177-J177)))/
  (SUMPRODUCT(POWER(J177,ROW(INDIRECT("1:"&amp;K177))-1)/FACT(ROW(INDIRECT("1:"&amp;K177))-1))+
  (POWER(K177,J177)/FACT(K177)*(K177/(K177-J177)))))</f>
        <v>4.9829656441741213E-2</v>
      </c>
    </row>
    <row r="178" spans="1:16" x14ac:dyDescent="0.2">
      <c r="A178" t="s">
        <v>59</v>
      </c>
      <c r="B178" s="1">
        <v>45667</v>
      </c>
      <c r="C178" t="s">
        <v>52</v>
      </c>
      <c r="D178">
        <v>13</v>
      </c>
      <c r="E178">
        <v>12</v>
      </c>
      <c r="F178">
        <f t="shared" si="14"/>
        <v>1</v>
      </c>
      <c r="G178" s="2">
        <f t="shared" si="15"/>
        <v>7.6923076923076927E-2</v>
      </c>
      <c r="H178">
        <v>276</v>
      </c>
      <c r="I178">
        <v>44</v>
      </c>
      <c r="J178" s="3">
        <f t="shared" si="16"/>
        <v>3.9866666666666668</v>
      </c>
      <c r="K178" s="3">
        <f t="shared" si="17"/>
        <v>7</v>
      </c>
      <c r="L178" s="4">
        <f t="shared" si="18"/>
        <v>0.56952380952380954</v>
      </c>
      <c r="M178" s="3">
        <f t="shared" ca="1" si="19"/>
        <v>2.0129430010624616</v>
      </c>
      <c r="N178" s="4">
        <f t="shared" ca="1" si="20"/>
        <v>0.99177325498368474</v>
      </c>
      <c r="P178" s="4" cm="1">
        <f t="array" aca="1" ref="P178" ca="1">IF(K178&lt;=J178,"Need More Agents",
  (POWER(K178,J178)/FACT(K178)*(K178/(K178-J178)))/
  (SUMPRODUCT(POWER(J178,ROW(INDIRECT("1:"&amp;K178))-1)/FACT(ROW(INDIRECT("1:"&amp;K178))-1))+
  (POWER(K178,J178)/FACT(K178)*(K178/(K178-J178)))))</f>
        <v>2.1977058852179529E-2</v>
      </c>
    </row>
    <row r="179" spans="1:16" x14ac:dyDescent="0.2">
      <c r="A179" t="s">
        <v>59</v>
      </c>
      <c r="B179" s="1">
        <v>45667</v>
      </c>
      <c r="C179" t="s">
        <v>53</v>
      </c>
      <c r="D179">
        <v>9</v>
      </c>
      <c r="E179">
        <v>9</v>
      </c>
      <c r="F179">
        <f t="shared" si="14"/>
        <v>0</v>
      </c>
      <c r="G179" s="2">
        <f t="shared" si="15"/>
        <v>0</v>
      </c>
      <c r="H179">
        <v>270</v>
      </c>
      <c r="I179">
        <v>22</v>
      </c>
      <c r="J179" s="3">
        <f t="shared" si="16"/>
        <v>2.7</v>
      </c>
      <c r="K179" s="3">
        <f t="shared" si="17"/>
        <v>6</v>
      </c>
      <c r="L179" s="4">
        <f t="shared" si="18"/>
        <v>0.45</v>
      </c>
      <c r="M179" s="3">
        <f t="shared" ca="1" si="19"/>
        <v>1.8162814084395087</v>
      </c>
      <c r="N179" s="4">
        <f t="shared" ca="1" si="20"/>
        <v>0.99261059647999195</v>
      </c>
      <c r="P179" s="4" cm="1">
        <f t="array" aca="1" ref="P179" ca="1">IF(K179&lt;=J179,"Need More Agents",
  (POWER(K179,J179)/FACT(K179)*(K179/(K179-J179)))/
  (SUMPRODUCT(POWER(J179,ROW(INDIRECT("1:"&amp;K179))-1)/FACT(ROW(INDIRECT("1:"&amp;K179))-1))+
  (POWER(K179,J179)/FACT(K179)*(K179/(K179-J179)))))</f>
        <v>2.2198994992038441E-2</v>
      </c>
    </row>
    <row r="180" spans="1:16" x14ac:dyDescent="0.2">
      <c r="A180" t="s">
        <v>59</v>
      </c>
      <c r="B180" s="1">
        <v>45667</v>
      </c>
      <c r="C180" t="s">
        <v>54</v>
      </c>
      <c r="D180">
        <v>7</v>
      </c>
      <c r="E180">
        <v>7</v>
      </c>
      <c r="F180">
        <f t="shared" si="14"/>
        <v>0</v>
      </c>
      <c r="G180" s="2">
        <f t="shared" si="15"/>
        <v>0</v>
      </c>
      <c r="H180">
        <v>264</v>
      </c>
      <c r="I180">
        <v>20</v>
      </c>
      <c r="J180" s="3">
        <f t="shared" si="16"/>
        <v>2.0533333333333332</v>
      </c>
      <c r="K180" s="3">
        <f t="shared" si="17"/>
        <v>5</v>
      </c>
      <c r="L180" s="4">
        <f t="shared" si="18"/>
        <v>0.41066666666666662</v>
      </c>
      <c r="M180" s="3">
        <f t="shared" ca="1" si="19"/>
        <v>4.4643764594863171</v>
      </c>
      <c r="N180" s="4">
        <f t="shared" ca="1" si="20"/>
        <v>0.98175182886698709</v>
      </c>
      <c r="P180" s="4" cm="1">
        <f t="array" aca="1" ref="P180" ca="1">IF(K180&lt;=J180,"Need More Agents",
  (POWER(K180,J180)/FACT(K180)*(K180/(K180-J180)))/
  (SUMPRODUCT(POWER(J180,ROW(INDIRECT("1:"&amp;K180))-1)/FACT(ROW(INDIRECT("1:"&amp;K180))-1))+
  (POWER(K180,J180)/FACT(K180)*(K180/(K180-J180)))))</f>
        <v>4.9829656441741213E-2</v>
      </c>
    </row>
    <row r="181" spans="1:16" x14ac:dyDescent="0.2">
      <c r="A181" t="s">
        <v>59</v>
      </c>
      <c r="B181" s="1">
        <v>45667</v>
      </c>
      <c r="C181" t="s">
        <v>55</v>
      </c>
      <c r="D181">
        <v>5</v>
      </c>
      <c r="E181">
        <v>5</v>
      </c>
      <c r="F181">
        <f t="shared" si="14"/>
        <v>0</v>
      </c>
      <c r="G181" s="2">
        <f t="shared" si="15"/>
        <v>0</v>
      </c>
      <c r="H181">
        <v>270</v>
      </c>
      <c r="I181">
        <v>18</v>
      </c>
      <c r="J181" s="3">
        <f t="shared" si="16"/>
        <v>1.5</v>
      </c>
      <c r="K181" s="3">
        <f t="shared" si="17"/>
        <v>4</v>
      </c>
      <c r="L181" s="4">
        <f t="shared" si="18"/>
        <v>0.375</v>
      </c>
      <c r="M181" s="3">
        <f t="shared" ca="1" si="19"/>
        <v>12.201235657546334</v>
      </c>
      <c r="N181" s="4">
        <f t="shared" ca="1" si="20"/>
        <v>0.95090152631164515</v>
      </c>
      <c r="P181" s="4" cm="1">
        <f t="array" aca="1" ref="P181" ca="1">IF(K181&lt;=J181,"Need More Agents",
  (POWER(K181,J181)/FACT(K181)*(K181/(K181-J181)))/
  (SUMPRODUCT(POWER(J181,ROW(INDIRECT("1:"&amp;K181))-1)/FACT(ROW(INDIRECT("1:"&amp;K181))-1))+
  (POWER(K181,J181)/FACT(K181)*(K181/(K181-J181)))))</f>
        <v>0.11297440423654014</v>
      </c>
    </row>
    <row r="182" spans="1:16" x14ac:dyDescent="0.2">
      <c r="A182" t="s">
        <v>60</v>
      </c>
      <c r="B182" s="1">
        <v>45668</v>
      </c>
      <c r="C182" t="s">
        <v>16</v>
      </c>
      <c r="D182">
        <v>8</v>
      </c>
      <c r="E182">
        <v>8</v>
      </c>
      <c r="F182">
        <f t="shared" si="14"/>
        <v>0</v>
      </c>
      <c r="G182" s="2">
        <f t="shared" si="15"/>
        <v>0</v>
      </c>
      <c r="H182">
        <v>264</v>
      </c>
      <c r="I182">
        <v>21</v>
      </c>
      <c r="J182" s="3">
        <f t="shared" si="16"/>
        <v>2.3466666666666667</v>
      </c>
      <c r="K182" s="3">
        <f t="shared" si="17"/>
        <v>5</v>
      </c>
      <c r="L182" s="4">
        <f t="shared" si="18"/>
        <v>0.46933333333333332</v>
      </c>
      <c r="M182" s="3">
        <f t="shared" ca="1" si="19"/>
        <v>6.6883283171517789</v>
      </c>
      <c r="N182" s="4">
        <f t="shared" ca="1" si="20"/>
        <v>0.97279389497571278</v>
      </c>
      <c r="P182" s="4" cm="1">
        <f t="array" aca="1" ref="P182" ca="1">IF(K182&lt;=J182,"Need More Agents",
  (POWER(K182,J182)/FACT(K182)*(K182/(K182-J182)))/
  (SUMPRODUCT(POWER(J182,ROW(INDIRECT("1:"&amp;K182))-1)/FACT(ROW(INDIRECT("1:"&amp;K182))-1))+
  (POWER(K182,J182)/FACT(K182)*(K182/(K182-J182)))))</f>
        <v>6.7221077530969897E-2</v>
      </c>
    </row>
    <row r="183" spans="1:16" x14ac:dyDescent="0.2">
      <c r="A183" t="s">
        <v>60</v>
      </c>
      <c r="B183" s="1">
        <v>45668</v>
      </c>
      <c r="C183" t="s">
        <v>18</v>
      </c>
      <c r="D183">
        <v>6</v>
      </c>
      <c r="E183">
        <v>6</v>
      </c>
      <c r="F183">
        <f t="shared" si="14"/>
        <v>0</v>
      </c>
      <c r="G183" s="2">
        <f t="shared" si="15"/>
        <v>0</v>
      </c>
      <c r="H183">
        <v>270</v>
      </c>
      <c r="I183">
        <v>19</v>
      </c>
      <c r="J183" s="3">
        <f t="shared" si="16"/>
        <v>1.8</v>
      </c>
      <c r="K183" s="3">
        <f t="shared" si="17"/>
        <v>4</v>
      </c>
      <c r="L183" s="4">
        <f t="shared" si="18"/>
        <v>0.45</v>
      </c>
      <c r="M183" s="3">
        <f t="shared" ca="1" si="19"/>
        <v>17.865014595382185</v>
      </c>
      <c r="N183" s="4">
        <f t="shared" ca="1" si="20"/>
        <v>0.93008350121755878</v>
      </c>
      <c r="P183" s="4" cm="1">
        <f t="array" aca="1" ref="P183" ca="1">IF(K183&lt;=J183,"Need More Agents",
  (POWER(K183,J183)/FACT(K183)*(K183/(K183-J183)))/
  (SUMPRODUCT(POWER(J183,ROW(INDIRECT("1:"&amp;K183))-1)/FACT(ROW(INDIRECT("1:"&amp;K183))-1))+
  (POWER(K183,J183)/FACT(K183)*(K183/(K183-J183)))))</f>
        <v>0.14556678559200298</v>
      </c>
    </row>
    <row r="184" spans="1:16" x14ac:dyDescent="0.2">
      <c r="A184" t="s">
        <v>60</v>
      </c>
      <c r="B184" s="1">
        <v>45668</v>
      </c>
      <c r="C184" t="s">
        <v>20</v>
      </c>
      <c r="D184">
        <v>5</v>
      </c>
      <c r="E184">
        <v>5</v>
      </c>
      <c r="F184">
        <f t="shared" si="14"/>
        <v>0</v>
      </c>
      <c r="G184" s="2">
        <f t="shared" si="15"/>
        <v>0</v>
      </c>
      <c r="H184">
        <v>264</v>
      </c>
      <c r="I184">
        <v>18</v>
      </c>
      <c r="J184" s="3">
        <f t="shared" si="16"/>
        <v>1.4666666666666666</v>
      </c>
      <c r="K184" s="3">
        <f t="shared" si="17"/>
        <v>4</v>
      </c>
      <c r="L184" s="4">
        <f t="shared" si="18"/>
        <v>0.36666666666666664</v>
      </c>
      <c r="M184" s="3">
        <f t="shared" ca="1" si="19"/>
        <v>11.458198329761236</v>
      </c>
      <c r="N184" s="4">
        <f t="shared" ca="1" si="20"/>
        <v>0.9536411943354427</v>
      </c>
      <c r="P184" s="4" cm="1">
        <f t="array" aca="1" ref="P184" ca="1">IF(K184&lt;=J184,"Need More Agents",
  (POWER(K184,J184)/FACT(K184)*(K184/(K184-J184)))/
  (SUMPRODUCT(POWER(J184,ROW(INDIRECT("1:"&amp;K184))-1)/FACT(ROW(INDIRECT("1:"&amp;K184))-1))+
  (POWER(K184,J184)/FACT(K184)*(K184/(K184-J184)))))</f>
        <v>0.10995240821488055</v>
      </c>
    </row>
    <row r="185" spans="1:16" x14ac:dyDescent="0.2">
      <c r="A185" t="s">
        <v>60</v>
      </c>
      <c r="B185" s="1">
        <v>45668</v>
      </c>
      <c r="C185" t="s">
        <v>22</v>
      </c>
      <c r="D185">
        <v>4</v>
      </c>
      <c r="E185">
        <v>4</v>
      </c>
      <c r="F185">
        <f t="shared" si="14"/>
        <v>0</v>
      </c>
      <c r="G185" s="2">
        <f t="shared" si="15"/>
        <v>0</v>
      </c>
      <c r="H185">
        <v>276</v>
      </c>
      <c r="I185">
        <v>17</v>
      </c>
      <c r="J185" s="3">
        <f t="shared" si="16"/>
        <v>1.2266666666666666</v>
      </c>
      <c r="K185" s="3">
        <f t="shared" si="17"/>
        <v>3</v>
      </c>
      <c r="L185" s="4">
        <f t="shared" si="18"/>
        <v>0.40888888888888886</v>
      </c>
      <c r="M185" s="3">
        <f t="shared" ca="1" si="19"/>
        <v>41.553348189891956</v>
      </c>
      <c r="N185" s="4">
        <f t="shared" ca="1" si="20"/>
        <v>0.85025517802107276</v>
      </c>
      <c r="P185" s="4" cm="1">
        <f t="array" aca="1" ref="P185" ca="1">IF(K185&lt;=J185,"Need More Agents",
  (POWER(K185,J185)/FACT(K185)*(K185/(K185-J185)))/
  (SUMPRODUCT(POWER(J185,ROW(INDIRECT("1:"&amp;K185))-1)/FACT(ROW(INDIRECT("1:"&amp;K185))-1))+
  (POWER(K185,J185)/FACT(K185)*(K185/(K185-J185)))))</f>
        <v>0.26698528064036858</v>
      </c>
    </row>
    <row r="186" spans="1:16" x14ac:dyDescent="0.2">
      <c r="A186" t="s">
        <v>60</v>
      </c>
      <c r="B186" s="1">
        <v>45668</v>
      </c>
      <c r="C186" t="s">
        <v>24</v>
      </c>
      <c r="D186">
        <v>12</v>
      </c>
      <c r="E186">
        <v>11</v>
      </c>
      <c r="F186">
        <f t="shared" si="14"/>
        <v>1</v>
      </c>
      <c r="G186" s="2">
        <f t="shared" si="15"/>
        <v>8.3333333333333329E-2</v>
      </c>
      <c r="H186">
        <v>270</v>
      </c>
      <c r="I186">
        <v>38</v>
      </c>
      <c r="J186" s="3">
        <f t="shared" si="16"/>
        <v>3.6</v>
      </c>
      <c r="K186" s="3">
        <f t="shared" si="17"/>
        <v>7</v>
      </c>
      <c r="L186" s="4">
        <f t="shared" si="18"/>
        <v>0.51428571428571435</v>
      </c>
      <c r="M186" s="3">
        <f t="shared" ca="1" si="19"/>
        <v>1.0406053292785904</v>
      </c>
      <c r="N186" s="4">
        <f t="shared" ca="1" si="20"/>
        <v>0.9957810849008546</v>
      </c>
      <c r="P186" s="4" cm="1">
        <f t="array" aca="1" ref="P186" ca="1">IF(K186&lt;=J186,"Need More Agents",
  (POWER(K186,J186)/FACT(K186)*(K186/(K186-J186)))/
  (SUMPRODUCT(POWER(J186,ROW(INDIRECT("1:"&amp;K186))-1)/FACT(ROW(INDIRECT("1:"&amp;K186))-1))+
  (POWER(K186,J186)/FACT(K186)*(K186/(K186-J186)))))</f>
        <v>1.3103918961285953E-2</v>
      </c>
    </row>
    <row r="187" spans="1:16" x14ac:dyDescent="0.2">
      <c r="A187" t="s">
        <v>60</v>
      </c>
      <c r="B187" s="1">
        <v>45668</v>
      </c>
      <c r="C187" t="s">
        <v>25</v>
      </c>
      <c r="D187">
        <v>8</v>
      </c>
      <c r="E187">
        <v>8</v>
      </c>
      <c r="F187">
        <f t="shared" si="14"/>
        <v>0</v>
      </c>
      <c r="G187" s="2">
        <f t="shared" si="15"/>
        <v>0</v>
      </c>
      <c r="H187">
        <v>264</v>
      </c>
      <c r="I187">
        <v>21</v>
      </c>
      <c r="J187" s="3">
        <f t="shared" si="16"/>
        <v>2.3466666666666667</v>
      </c>
      <c r="K187" s="3">
        <f t="shared" si="17"/>
        <v>5</v>
      </c>
      <c r="L187" s="4">
        <f t="shared" si="18"/>
        <v>0.46933333333333332</v>
      </c>
      <c r="M187" s="3">
        <f t="shared" ca="1" si="19"/>
        <v>6.6883283171517789</v>
      </c>
      <c r="N187" s="4">
        <f t="shared" ca="1" si="20"/>
        <v>0.97279389497571278</v>
      </c>
      <c r="P187" s="4" cm="1">
        <f t="array" aca="1" ref="P187" ca="1">IF(K187&lt;=J187,"Need More Agents",
  (POWER(K187,J187)/FACT(K187)*(K187/(K187-J187)))/
  (SUMPRODUCT(POWER(J187,ROW(INDIRECT("1:"&amp;K187))-1)/FACT(ROW(INDIRECT("1:"&amp;K187))-1))+
  (POWER(K187,J187)/FACT(K187)*(K187/(K187-J187)))))</f>
        <v>6.7221077530969897E-2</v>
      </c>
    </row>
    <row r="188" spans="1:16" x14ac:dyDescent="0.2">
      <c r="A188" t="s">
        <v>60</v>
      </c>
      <c r="B188" s="1">
        <v>45668</v>
      </c>
      <c r="C188" t="s">
        <v>26</v>
      </c>
      <c r="D188">
        <v>7</v>
      </c>
      <c r="E188">
        <v>7</v>
      </c>
      <c r="F188">
        <f t="shared" si="14"/>
        <v>0</v>
      </c>
      <c r="G188" s="2">
        <f t="shared" si="15"/>
        <v>0</v>
      </c>
      <c r="H188">
        <v>270</v>
      </c>
      <c r="I188">
        <v>20</v>
      </c>
      <c r="J188" s="3">
        <f t="shared" si="16"/>
        <v>2.1</v>
      </c>
      <c r="K188" s="3">
        <f t="shared" si="17"/>
        <v>5</v>
      </c>
      <c r="L188" s="4">
        <f t="shared" si="18"/>
        <v>0.42000000000000004</v>
      </c>
      <c r="M188" s="3">
        <f t="shared" ca="1" si="19"/>
        <v>4.8611786754411463</v>
      </c>
      <c r="N188" s="4">
        <f t="shared" ca="1" si="20"/>
        <v>0.98014097974884984</v>
      </c>
      <c r="P188" s="4" cm="1">
        <f t="array" aca="1" ref="P188" ca="1">IF(K188&lt;=J188,"Need More Agents",
  (POWER(K188,J188)/FACT(K188)*(K188/(K188-J188)))/
  (SUMPRODUCT(POWER(J188,ROW(INDIRECT("1:"&amp;K188))-1)/FACT(ROW(INDIRECT("1:"&amp;K188))-1))+
  (POWER(K188,J188)/FACT(K188)*(K188/(K188-J188)))))</f>
        <v>5.2212659847330832E-2</v>
      </c>
    </row>
    <row r="189" spans="1:16" x14ac:dyDescent="0.2">
      <c r="A189" t="s">
        <v>60</v>
      </c>
      <c r="B189" s="1">
        <v>45668</v>
      </c>
      <c r="C189" t="s">
        <v>27</v>
      </c>
      <c r="D189">
        <v>5</v>
      </c>
      <c r="E189">
        <v>5</v>
      </c>
      <c r="F189">
        <f t="shared" si="14"/>
        <v>0</v>
      </c>
      <c r="G189" s="2">
        <f t="shared" si="15"/>
        <v>0</v>
      </c>
      <c r="H189">
        <v>264</v>
      </c>
      <c r="I189">
        <v>18</v>
      </c>
      <c r="J189" s="3">
        <f t="shared" si="16"/>
        <v>1.4666666666666666</v>
      </c>
      <c r="K189" s="3">
        <f t="shared" si="17"/>
        <v>4</v>
      </c>
      <c r="L189" s="4">
        <f t="shared" si="18"/>
        <v>0.36666666666666664</v>
      </c>
      <c r="M189" s="3">
        <f t="shared" ca="1" si="19"/>
        <v>11.458198329761236</v>
      </c>
      <c r="N189" s="4">
        <f t="shared" ca="1" si="20"/>
        <v>0.9536411943354427</v>
      </c>
      <c r="P189" s="4" cm="1">
        <f t="array" aca="1" ref="P189" ca="1">IF(K189&lt;=J189,"Need More Agents",
  (POWER(K189,J189)/FACT(K189)*(K189/(K189-J189)))/
  (SUMPRODUCT(POWER(J189,ROW(INDIRECT("1:"&amp;K189))-1)/FACT(ROW(INDIRECT("1:"&amp;K189))-1))+
  (POWER(K189,J189)/FACT(K189)*(K189/(K189-J189)))))</f>
        <v>0.10995240821488055</v>
      </c>
    </row>
    <row r="190" spans="1:16" x14ac:dyDescent="0.2">
      <c r="A190" t="s">
        <v>60</v>
      </c>
      <c r="B190" s="1">
        <v>45668</v>
      </c>
      <c r="C190" t="s">
        <v>28</v>
      </c>
      <c r="D190">
        <v>14</v>
      </c>
      <c r="E190">
        <v>13</v>
      </c>
      <c r="F190">
        <f t="shared" si="14"/>
        <v>1</v>
      </c>
      <c r="G190" s="2">
        <f t="shared" si="15"/>
        <v>7.1428571428571425E-2</v>
      </c>
      <c r="H190">
        <v>276</v>
      </c>
      <c r="I190">
        <v>42</v>
      </c>
      <c r="J190" s="3">
        <f t="shared" si="16"/>
        <v>4.293333333333333</v>
      </c>
      <c r="K190" s="3">
        <f t="shared" si="17"/>
        <v>8</v>
      </c>
      <c r="L190" s="4">
        <f t="shared" si="18"/>
        <v>0.53666666666666663</v>
      </c>
      <c r="M190" s="3">
        <f t="shared" ca="1" si="19"/>
        <v>0.43894557042466642</v>
      </c>
      <c r="N190" s="4">
        <f t="shared" ca="1" si="20"/>
        <v>0.99823982734743621</v>
      </c>
      <c r="P190" s="4" cm="1">
        <f t="array" aca="1" ref="P190" ca="1">IF(K190&lt;=J190,"Need More Agents",
  (POWER(K190,J190)/FACT(K190)*(K190/(K190-J190)))/
  (SUMPRODUCT(POWER(J190,ROW(INDIRECT("1:"&amp;K190))-1)/FACT(ROW(INDIRECT("1:"&amp;K190))-1))+
  (POWER(K190,J190)/FACT(K190)*(K190/(K190-J190)))))</f>
        <v>5.8950178057032496E-3</v>
      </c>
    </row>
    <row r="191" spans="1:16" x14ac:dyDescent="0.2">
      <c r="A191" t="s">
        <v>60</v>
      </c>
      <c r="B191" s="1">
        <v>45668</v>
      </c>
      <c r="C191" t="s">
        <v>29</v>
      </c>
      <c r="D191">
        <v>10</v>
      </c>
      <c r="E191">
        <v>10</v>
      </c>
      <c r="F191">
        <f t="shared" si="14"/>
        <v>0</v>
      </c>
      <c r="G191" s="2">
        <f t="shared" si="15"/>
        <v>0</v>
      </c>
      <c r="H191">
        <v>270</v>
      </c>
      <c r="I191">
        <v>24</v>
      </c>
      <c r="J191" s="3">
        <f t="shared" si="16"/>
        <v>3</v>
      </c>
      <c r="K191" s="3">
        <f t="shared" si="17"/>
        <v>6</v>
      </c>
      <c r="L191" s="4">
        <f t="shared" si="18"/>
        <v>0.5</v>
      </c>
      <c r="M191" s="3">
        <f t="shared" ca="1" si="19"/>
        <v>2.8421052631578951</v>
      </c>
      <c r="N191" s="4">
        <f t="shared" ca="1" si="20"/>
        <v>0.98838275448932289</v>
      </c>
      <c r="P191" s="4" cm="1">
        <f t="array" aca="1" ref="P191" ca="1">IF(K191&lt;=J191,"Need More Agents",
  (POWER(K191,J191)/FACT(K191)*(K191/(K191-J191)))/
  (SUMPRODUCT(POWER(J191,ROW(INDIRECT("1:"&amp;K191))-1)/FACT(ROW(INDIRECT("1:"&amp;K191))-1))+
  (POWER(K191,J191)/FACT(K191)*(K191/(K191-J191)))))</f>
        <v>3.1578947368421054E-2</v>
      </c>
    </row>
    <row r="192" spans="1:16" x14ac:dyDescent="0.2">
      <c r="A192" t="s">
        <v>60</v>
      </c>
      <c r="B192" s="1">
        <v>45668</v>
      </c>
      <c r="C192" t="s">
        <v>30</v>
      </c>
      <c r="D192">
        <v>8</v>
      </c>
      <c r="E192">
        <v>8</v>
      </c>
      <c r="F192">
        <f t="shared" si="14"/>
        <v>0</v>
      </c>
      <c r="G192" s="2">
        <f t="shared" si="15"/>
        <v>0</v>
      </c>
      <c r="H192">
        <v>264</v>
      </c>
      <c r="I192">
        <v>21</v>
      </c>
      <c r="J192" s="3">
        <f t="shared" si="16"/>
        <v>2.3466666666666667</v>
      </c>
      <c r="K192" s="3">
        <f t="shared" si="17"/>
        <v>5</v>
      </c>
      <c r="L192" s="4">
        <f t="shared" si="18"/>
        <v>0.46933333333333332</v>
      </c>
      <c r="M192" s="3">
        <f t="shared" ca="1" si="19"/>
        <v>6.6883283171517789</v>
      </c>
      <c r="N192" s="4">
        <f t="shared" ca="1" si="20"/>
        <v>0.97279389497571278</v>
      </c>
      <c r="P192" s="4" cm="1">
        <f t="array" aca="1" ref="P192" ca="1">IF(K192&lt;=J192,"Need More Agents",
  (POWER(K192,J192)/FACT(K192)*(K192/(K192-J192)))/
  (SUMPRODUCT(POWER(J192,ROW(INDIRECT("1:"&amp;K192))-1)/FACT(ROW(INDIRECT("1:"&amp;K192))-1))+
  (POWER(K192,J192)/FACT(K192)*(K192/(K192-J192)))))</f>
        <v>6.7221077530969897E-2</v>
      </c>
    </row>
    <row r="193" spans="1:16" x14ac:dyDescent="0.2">
      <c r="A193" t="s">
        <v>60</v>
      </c>
      <c r="B193" s="1">
        <v>45668</v>
      </c>
      <c r="C193" t="s">
        <v>31</v>
      </c>
      <c r="D193">
        <v>6</v>
      </c>
      <c r="E193">
        <v>6</v>
      </c>
      <c r="F193">
        <f t="shared" si="14"/>
        <v>0</v>
      </c>
      <c r="G193" s="2">
        <f t="shared" si="15"/>
        <v>0</v>
      </c>
      <c r="H193">
        <v>270</v>
      </c>
      <c r="I193">
        <v>19</v>
      </c>
      <c r="J193" s="3">
        <f t="shared" si="16"/>
        <v>1.8</v>
      </c>
      <c r="K193" s="3">
        <f t="shared" si="17"/>
        <v>4</v>
      </c>
      <c r="L193" s="4">
        <f t="shared" si="18"/>
        <v>0.45</v>
      </c>
      <c r="M193" s="3">
        <f t="shared" ca="1" si="19"/>
        <v>17.865014595382185</v>
      </c>
      <c r="N193" s="4">
        <f t="shared" ca="1" si="20"/>
        <v>0.93008350121755878</v>
      </c>
      <c r="P193" s="4" cm="1">
        <f t="array" aca="1" ref="P193" ca="1">IF(K193&lt;=J193,"Need More Agents",
  (POWER(K193,J193)/FACT(K193)*(K193/(K193-J193)))/
  (SUMPRODUCT(POWER(J193,ROW(INDIRECT("1:"&amp;K193))-1)/FACT(ROW(INDIRECT("1:"&amp;K193))-1))+
  (POWER(K193,J193)/FACT(K193)*(K193/(K193-J193)))))</f>
        <v>0.14556678559200298</v>
      </c>
    </row>
    <row r="194" spans="1:16" x14ac:dyDescent="0.2">
      <c r="A194" t="s">
        <v>60</v>
      </c>
      <c r="B194" s="1">
        <v>45668</v>
      </c>
      <c r="C194" t="s">
        <v>32</v>
      </c>
      <c r="D194">
        <v>13</v>
      </c>
      <c r="E194">
        <v>12</v>
      </c>
      <c r="F194">
        <f t="shared" si="14"/>
        <v>1</v>
      </c>
      <c r="G194" s="2">
        <f t="shared" si="15"/>
        <v>7.6923076923076927E-2</v>
      </c>
      <c r="H194">
        <v>276</v>
      </c>
      <c r="I194">
        <v>41</v>
      </c>
      <c r="J194" s="3">
        <f t="shared" si="16"/>
        <v>3.9866666666666668</v>
      </c>
      <c r="K194" s="3">
        <f t="shared" si="17"/>
        <v>7</v>
      </c>
      <c r="L194" s="4">
        <f t="shared" si="18"/>
        <v>0.56952380952380954</v>
      </c>
      <c r="M194" s="3">
        <f t="shared" ca="1" si="19"/>
        <v>2.0129430010624616</v>
      </c>
      <c r="N194" s="4">
        <f t="shared" ca="1" si="20"/>
        <v>0.99177325498368474</v>
      </c>
      <c r="P194" s="4" cm="1">
        <f t="array" aca="1" ref="P194" ca="1">IF(K194&lt;=J194,"Need More Agents",
  (POWER(K194,J194)/FACT(K194)*(K194/(K194-J194)))/
  (SUMPRODUCT(POWER(J194,ROW(INDIRECT("1:"&amp;K194))-1)/FACT(ROW(INDIRECT("1:"&amp;K194))-1))+
  (POWER(K194,J194)/FACT(K194)*(K194/(K194-J194)))))</f>
        <v>2.1977058852179529E-2</v>
      </c>
    </row>
    <row r="195" spans="1:16" x14ac:dyDescent="0.2">
      <c r="A195" t="s">
        <v>60</v>
      </c>
      <c r="B195" s="1">
        <v>45668</v>
      </c>
      <c r="C195" t="s">
        <v>33</v>
      </c>
      <c r="D195">
        <v>9</v>
      </c>
      <c r="E195">
        <v>9</v>
      </c>
      <c r="F195">
        <f t="shared" ref="F195:F217" si="21">D195-E195</f>
        <v>0</v>
      </c>
      <c r="G195" s="2">
        <f t="shared" ref="G195:G217" si="22">F195/D195</f>
        <v>0</v>
      </c>
      <c r="H195">
        <v>270</v>
      </c>
      <c r="I195">
        <v>22</v>
      </c>
      <c r="J195" s="3">
        <f t="shared" ref="J195:J217" si="23">D195*H195/900</f>
        <v>2.7</v>
      </c>
      <c r="K195" s="3">
        <f t="shared" ref="K195:K217" si="24">ROUNDUP(J195+SQRT(J195)*1.5,0)</f>
        <v>6</v>
      </c>
      <c r="L195" s="4">
        <f t="shared" ref="L195:L217" si="25">J195/K195</f>
        <v>0.45</v>
      </c>
      <c r="M195" s="3">
        <f t="shared" ref="M195:M217" ca="1" si="26">IF(K195&lt;=J195,"Need More Agents",(P195*H195)/(K195-J195))</f>
        <v>1.8162814084395087</v>
      </c>
      <c r="N195" s="4">
        <f t="shared" ref="N195:N217" ca="1" si="27">IF(K195&lt;=J195,0,1-(P195*EXP(-((K195-J195)*(90/H195)))))</f>
        <v>0.99261059647999195</v>
      </c>
      <c r="P195" s="4" cm="1">
        <f t="array" aca="1" ref="P195" ca="1">IF(K195&lt;=J195,"Need More Agents",
  (POWER(K195,J195)/FACT(K195)*(K195/(K195-J195)))/
  (SUMPRODUCT(POWER(J195,ROW(INDIRECT("1:"&amp;K195))-1)/FACT(ROW(INDIRECT("1:"&amp;K195))-1))+
  (POWER(K195,J195)/FACT(K195)*(K195/(K195-J195)))))</f>
        <v>2.2198994992038441E-2</v>
      </c>
    </row>
    <row r="196" spans="1:16" x14ac:dyDescent="0.2">
      <c r="A196" t="s">
        <v>60</v>
      </c>
      <c r="B196" s="1">
        <v>45668</v>
      </c>
      <c r="C196" t="s">
        <v>34</v>
      </c>
      <c r="D196">
        <v>7</v>
      </c>
      <c r="E196">
        <v>7</v>
      </c>
      <c r="F196">
        <f t="shared" si="21"/>
        <v>0</v>
      </c>
      <c r="G196" s="2">
        <f t="shared" si="22"/>
        <v>0</v>
      </c>
      <c r="H196">
        <v>264</v>
      </c>
      <c r="I196">
        <v>20</v>
      </c>
      <c r="J196" s="3">
        <f t="shared" si="23"/>
        <v>2.0533333333333332</v>
      </c>
      <c r="K196" s="3">
        <f t="shared" si="24"/>
        <v>5</v>
      </c>
      <c r="L196" s="4">
        <f t="shared" si="25"/>
        <v>0.41066666666666662</v>
      </c>
      <c r="M196" s="3">
        <f t="shared" ca="1" si="26"/>
        <v>4.4643764594863171</v>
      </c>
      <c r="N196" s="4">
        <f t="shared" ca="1" si="27"/>
        <v>0.98175182886698709</v>
      </c>
      <c r="P196" s="4" cm="1">
        <f t="array" aca="1" ref="P196" ca="1">IF(K196&lt;=J196,"Need More Agents",
  (POWER(K196,J196)/FACT(K196)*(K196/(K196-J196)))/
  (SUMPRODUCT(POWER(J196,ROW(INDIRECT("1:"&amp;K196))-1)/FACT(ROW(INDIRECT("1:"&amp;K196))-1))+
  (POWER(K196,J196)/FACT(K196)*(K196/(K196-J196)))))</f>
        <v>4.9829656441741213E-2</v>
      </c>
    </row>
    <row r="197" spans="1:16" x14ac:dyDescent="0.2">
      <c r="A197" t="s">
        <v>60</v>
      </c>
      <c r="B197" s="1">
        <v>45668</v>
      </c>
      <c r="C197" t="s">
        <v>35</v>
      </c>
      <c r="D197">
        <v>6</v>
      </c>
      <c r="E197">
        <v>6</v>
      </c>
      <c r="F197">
        <f t="shared" si="21"/>
        <v>0</v>
      </c>
      <c r="G197" s="2">
        <f t="shared" si="22"/>
        <v>0</v>
      </c>
      <c r="H197">
        <v>270</v>
      </c>
      <c r="I197">
        <v>19</v>
      </c>
      <c r="J197" s="3">
        <f t="shared" si="23"/>
        <v>1.8</v>
      </c>
      <c r="K197" s="3">
        <f t="shared" si="24"/>
        <v>4</v>
      </c>
      <c r="L197" s="4">
        <f t="shared" si="25"/>
        <v>0.45</v>
      </c>
      <c r="M197" s="3">
        <f t="shared" ca="1" si="26"/>
        <v>17.865014595382185</v>
      </c>
      <c r="N197" s="4">
        <f t="shared" ca="1" si="27"/>
        <v>0.93008350121755878</v>
      </c>
      <c r="P197" s="4" cm="1">
        <f t="array" aca="1" ref="P197" ca="1">IF(K197&lt;=J197,"Need More Agents",
  (POWER(K197,J197)/FACT(K197)*(K197/(K197-J197)))/
  (SUMPRODUCT(POWER(J197,ROW(INDIRECT("1:"&amp;K197))-1)/FACT(ROW(INDIRECT("1:"&amp;K197))-1))+
  (POWER(K197,J197)/FACT(K197)*(K197/(K197-J197)))))</f>
        <v>0.14556678559200298</v>
      </c>
    </row>
    <row r="198" spans="1:16" x14ac:dyDescent="0.2">
      <c r="A198" t="s">
        <v>60</v>
      </c>
      <c r="B198" s="1">
        <v>45668</v>
      </c>
      <c r="C198" t="s">
        <v>36</v>
      </c>
      <c r="D198">
        <v>10</v>
      </c>
      <c r="E198">
        <v>9</v>
      </c>
      <c r="F198">
        <f t="shared" si="21"/>
        <v>1</v>
      </c>
      <c r="G198" s="2">
        <f t="shared" si="22"/>
        <v>0.1</v>
      </c>
      <c r="H198">
        <v>264</v>
      </c>
      <c r="I198">
        <v>35</v>
      </c>
      <c r="J198" s="3">
        <f t="shared" si="23"/>
        <v>2.9333333333333331</v>
      </c>
      <c r="K198" s="3">
        <f t="shared" si="24"/>
        <v>6</v>
      </c>
      <c r="L198" s="4">
        <f t="shared" si="25"/>
        <v>0.48888888888888887</v>
      </c>
      <c r="M198" s="3">
        <f t="shared" ca="1" si="26"/>
        <v>2.5109704880973625</v>
      </c>
      <c r="N198" s="4">
        <f t="shared" ca="1" si="27"/>
        <v>0.98974657134244404</v>
      </c>
      <c r="P198" s="4" cm="1">
        <f t="array" aca="1" ref="P198" ca="1">IF(K198&lt;=J198,"Need More Agents",
  (POWER(K198,J198)/FACT(K198)*(K198/(K198-J198)))/
  (SUMPRODUCT(POWER(J198,ROW(INDIRECT("1:"&amp;K198))-1)/FACT(ROW(INDIRECT("1:"&amp;K198))-1))+
  (POWER(K198,J198)/FACT(K198)*(K198/(K198-J198)))))</f>
        <v>2.9167839003151182E-2</v>
      </c>
    </row>
    <row r="199" spans="1:16" x14ac:dyDescent="0.2">
      <c r="A199" t="s">
        <v>60</v>
      </c>
      <c r="B199" s="1">
        <v>45668</v>
      </c>
      <c r="C199" t="s">
        <v>37</v>
      </c>
      <c r="D199">
        <v>7</v>
      </c>
      <c r="E199">
        <v>7</v>
      </c>
      <c r="F199">
        <f t="shared" si="21"/>
        <v>0</v>
      </c>
      <c r="G199" s="2">
        <f t="shared" si="22"/>
        <v>0</v>
      </c>
      <c r="H199">
        <v>270</v>
      </c>
      <c r="I199">
        <v>20</v>
      </c>
      <c r="J199" s="3">
        <f t="shared" si="23"/>
        <v>2.1</v>
      </c>
      <c r="K199" s="3">
        <f t="shared" si="24"/>
        <v>5</v>
      </c>
      <c r="L199" s="4">
        <f t="shared" si="25"/>
        <v>0.42000000000000004</v>
      </c>
      <c r="M199" s="3">
        <f t="shared" ca="1" si="26"/>
        <v>4.8611786754411463</v>
      </c>
      <c r="N199" s="4">
        <f t="shared" ca="1" si="27"/>
        <v>0.98014097974884984</v>
      </c>
      <c r="P199" s="4" cm="1">
        <f t="array" aca="1" ref="P199" ca="1">IF(K199&lt;=J199,"Need More Agents",
  (POWER(K199,J199)/FACT(K199)*(K199/(K199-J199)))/
  (SUMPRODUCT(POWER(J199,ROW(INDIRECT("1:"&amp;K199))-1)/FACT(ROW(INDIRECT("1:"&amp;K199))-1))+
  (POWER(K199,J199)/FACT(K199)*(K199/(K199-J199)))))</f>
        <v>5.2212659847330832E-2</v>
      </c>
    </row>
    <row r="200" spans="1:16" x14ac:dyDescent="0.2">
      <c r="A200" t="s">
        <v>60</v>
      </c>
      <c r="B200" s="1">
        <v>45668</v>
      </c>
      <c r="C200" t="s">
        <v>38</v>
      </c>
      <c r="D200">
        <v>5</v>
      </c>
      <c r="E200">
        <v>5</v>
      </c>
      <c r="F200">
        <f t="shared" si="21"/>
        <v>0</v>
      </c>
      <c r="G200" s="2">
        <f t="shared" si="22"/>
        <v>0</v>
      </c>
      <c r="H200">
        <v>264</v>
      </c>
      <c r="I200">
        <v>18</v>
      </c>
      <c r="J200" s="3">
        <f t="shared" si="23"/>
        <v>1.4666666666666666</v>
      </c>
      <c r="K200" s="3">
        <f t="shared" si="24"/>
        <v>4</v>
      </c>
      <c r="L200" s="4">
        <f t="shared" si="25"/>
        <v>0.36666666666666664</v>
      </c>
      <c r="M200" s="3">
        <f t="shared" ca="1" si="26"/>
        <v>11.458198329761236</v>
      </c>
      <c r="N200" s="4">
        <f t="shared" ca="1" si="27"/>
        <v>0.9536411943354427</v>
      </c>
      <c r="P200" s="4" cm="1">
        <f t="array" aca="1" ref="P200" ca="1">IF(K200&lt;=J200,"Need More Agents",
  (POWER(K200,J200)/FACT(K200)*(K200/(K200-J200)))/
  (SUMPRODUCT(POWER(J200,ROW(INDIRECT("1:"&amp;K200))-1)/FACT(ROW(INDIRECT("1:"&amp;K200))-1))+
  (POWER(K200,J200)/FACT(K200)*(K200/(K200-J200)))))</f>
        <v>0.10995240821488055</v>
      </c>
    </row>
    <row r="201" spans="1:16" x14ac:dyDescent="0.2">
      <c r="A201" t="s">
        <v>60</v>
      </c>
      <c r="B201" s="1">
        <v>45668</v>
      </c>
      <c r="C201" t="s">
        <v>39</v>
      </c>
      <c r="D201">
        <v>4</v>
      </c>
      <c r="E201">
        <v>4</v>
      </c>
      <c r="F201">
        <f t="shared" si="21"/>
        <v>0</v>
      </c>
      <c r="G201" s="2">
        <f t="shared" si="22"/>
        <v>0</v>
      </c>
      <c r="H201">
        <v>270</v>
      </c>
      <c r="I201">
        <v>17</v>
      </c>
      <c r="J201" s="3">
        <f t="shared" si="23"/>
        <v>1.2</v>
      </c>
      <c r="K201" s="3">
        <f t="shared" si="24"/>
        <v>3</v>
      </c>
      <c r="L201" s="4">
        <f t="shared" si="25"/>
        <v>0.39999999999999997</v>
      </c>
      <c r="M201" s="3">
        <f t="shared" ca="1" si="26"/>
        <v>39.34110022608008</v>
      </c>
      <c r="N201" s="4">
        <f t="shared" ca="1" si="27"/>
        <v>0.8560609761279061</v>
      </c>
      <c r="P201" s="4" cm="1">
        <f t="array" aca="1" ref="P201" ca="1">IF(K201&lt;=J201,"Need More Agents",
  (POWER(K201,J201)/FACT(K201)*(K201/(K201-J201)))/
  (SUMPRODUCT(POWER(J201,ROW(INDIRECT("1:"&amp;K201))-1)/FACT(ROW(INDIRECT("1:"&amp;K201))-1))+
  (POWER(K201,J201)/FACT(K201)*(K201/(K201-J201)))))</f>
        <v>0.26227400150720054</v>
      </c>
    </row>
    <row r="202" spans="1:16" x14ac:dyDescent="0.2">
      <c r="A202" t="s">
        <v>60</v>
      </c>
      <c r="B202" s="1">
        <v>45668</v>
      </c>
      <c r="C202" t="s">
        <v>40</v>
      </c>
      <c r="D202">
        <v>11</v>
      </c>
      <c r="E202">
        <v>10</v>
      </c>
      <c r="F202">
        <f t="shared" si="21"/>
        <v>1</v>
      </c>
      <c r="G202" s="2">
        <f t="shared" si="22"/>
        <v>9.0909090909090912E-2</v>
      </c>
      <c r="H202">
        <v>276</v>
      </c>
      <c r="I202">
        <v>37</v>
      </c>
      <c r="J202" s="3">
        <f t="shared" si="23"/>
        <v>3.3733333333333335</v>
      </c>
      <c r="K202" s="3">
        <f t="shared" si="24"/>
        <v>7</v>
      </c>
      <c r="L202" s="4">
        <f t="shared" si="25"/>
        <v>0.48190476190476195</v>
      </c>
      <c r="M202" s="3">
        <f t="shared" ca="1" si="26"/>
        <v>0.74316946907075909</v>
      </c>
      <c r="N202" s="4">
        <f t="shared" ca="1" si="27"/>
        <v>0.99700714285604841</v>
      </c>
      <c r="P202" s="4" cm="1">
        <f t="array" aca="1" ref="P202" ca="1">IF(K202&lt;=J202,"Need More Agents",
  (POWER(K202,J202)/FACT(K202)*(K202/(K202-J202)))/
  (SUMPRODUCT(POWER(J202,ROW(INDIRECT("1:"&amp;K202))-1)/FACT(ROW(INDIRECT("1:"&amp;K202))-1))+
  (POWER(K202,J202)/FACT(K202)*(K202/(K202-J202)))))</f>
        <v>9.7653186274032095E-3</v>
      </c>
    </row>
    <row r="203" spans="1:16" x14ac:dyDescent="0.2">
      <c r="A203" t="s">
        <v>60</v>
      </c>
      <c r="B203" s="1">
        <v>45668</v>
      </c>
      <c r="C203" t="s">
        <v>41</v>
      </c>
      <c r="D203">
        <v>8</v>
      </c>
      <c r="E203">
        <v>8</v>
      </c>
      <c r="F203">
        <f t="shared" si="21"/>
        <v>0</v>
      </c>
      <c r="G203" s="2">
        <f t="shared" si="22"/>
        <v>0</v>
      </c>
      <c r="H203">
        <v>270</v>
      </c>
      <c r="I203">
        <v>21</v>
      </c>
      <c r="J203" s="3">
        <f t="shared" si="23"/>
        <v>2.4</v>
      </c>
      <c r="K203" s="3">
        <f t="shared" si="24"/>
        <v>5</v>
      </c>
      <c r="L203" s="4">
        <f t="shared" si="25"/>
        <v>0.48</v>
      </c>
      <c r="M203" s="3">
        <f t="shared" ca="1" si="26"/>
        <v>7.3819530344803725</v>
      </c>
      <c r="N203" s="4">
        <f t="shared" ca="1" si="27"/>
        <v>0.97011919381178136</v>
      </c>
      <c r="P203" s="4" cm="1">
        <f t="array" aca="1" ref="P203" ca="1">IF(K203&lt;=J203,"Need More Agents",
  (POWER(K203,J203)/FACT(K203)*(K203/(K203-J203)))/
  (SUMPRODUCT(POWER(J203,ROW(INDIRECT("1:"&amp;K203))-1)/FACT(ROW(INDIRECT("1:"&amp;K203))-1))+
  (POWER(K203,J203)/FACT(K203)*(K203/(K203-J203)))))</f>
        <v>7.108547366536655E-2</v>
      </c>
    </row>
    <row r="204" spans="1:16" x14ac:dyDescent="0.2">
      <c r="A204" t="s">
        <v>60</v>
      </c>
      <c r="B204" s="1">
        <v>45668</v>
      </c>
      <c r="C204" t="s">
        <v>42</v>
      </c>
      <c r="D204">
        <v>6</v>
      </c>
      <c r="E204">
        <v>6</v>
      </c>
      <c r="F204">
        <f t="shared" si="21"/>
        <v>0</v>
      </c>
      <c r="G204" s="2">
        <f t="shared" si="22"/>
        <v>0</v>
      </c>
      <c r="H204">
        <v>264</v>
      </c>
      <c r="I204">
        <v>19</v>
      </c>
      <c r="J204" s="3">
        <f t="shared" si="23"/>
        <v>1.76</v>
      </c>
      <c r="K204" s="3">
        <f t="shared" si="24"/>
        <v>4</v>
      </c>
      <c r="L204" s="4">
        <f t="shared" si="25"/>
        <v>0.44</v>
      </c>
      <c r="M204" s="3">
        <f t="shared" ca="1" si="26"/>
        <v>16.570050910372295</v>
      </c>
      <c r="N204" s="4">
        <f t="shared" ca="1" si="27"/>
        <v>0.93448739401284986</v>
      </c>
      <c r="P204" s="4" cm="1">
        <f t="array" aca="1" ref="P204" ca="1">IF(K204&lt;=J204,"Need More Agents",
  (POWER(K204,J204)/FACT(K204)*(K204/(K204-J204)))/
  (SUMPRODUCT(POWER(J204,ROW(INDIRECT("1:"&amp;K204))-1)/FACT(ROW(INDIRECT("1:"&amp;K204))-1))+
  (POWER(K204,J204)/FACT(K204)*(K204/(K204-J204)))))</f>
        <v>0.14059437136073466</v>
      </c>
    </row>
    <row r="205" spans="1:16" x14ac:dyDescent="0.2">
      <c r="A205" t="s">
        <v>60</v>
      </c>
      <c r="B205" s="1">
        <v>45668</v>
      </c>
      <c r="C205" t="s">
        <v>43</v>
      </c>
      <c r="D205">
        <v>5</v>
      </c>
      <c r="E205">
        <v>5</v>
      </c>
      <c r="F205">
        <f t="shared" si="21"/>
        <v>0</v>
      </c>
      <c r="G205" s="2">
        <f t="shared" si="22"/>
        <v>0</v>
      </c>
      <c r="H205">
        <v>270</v>
      </c>
      <c r="I205">
        <v>18</v>
      </c>
      <c r="J205" s="3">
        <f t="shared" si="23"/>
        <v>1.5</v>
      </c>
      <c r="K205" s="3">
        <f t="shared" si="24"/>
        <v>4</v>
      </c>
      <c r="L205" s="4">
        <f t="shared" si="25"/>
        <v>0.375</v>
      </c>
      <c r="M205" s="3">
        <f t="shared" ca="1" si="26"/>
        <v>12.201235657546334</v>
      </c>
      <c r="N205" s="4">
        <f t="shared" ca="1" si="27"/>
        <v>0.95090152631164515</v>
      </c>
      <c r="P205" s="4" cm="1">
        <f t="array" aca="1" ref="P205" ca="1">IF(K205&lt;=J205,"Need More Agents",
  (POWER(K205,J205)/FACT(K205)*(K205/(K205-J205)))/
  (SUMPRODUCT(POWER(J205,ROW(INDIRECT("1:"&amp;K205))-1)/FACT(ROW(INDIRECT("1:"&amp;K205))-1))+
  (POWER(K205,J205)/FACT(K205)*(K205/(K205-J205)))))</f>
        <v>0.11297440423654014</v>
      </c>
    </row>
    <row r="206" spans="1:16" x14ac:dyDescent="0.2">
      <c r="A206" t="s">
        <v>60</v>
      </c>
      <c r="B206" s="1">
        <v>45668</v>
      </c>
      <c r="C206" t="s">
        <v>44</v>
      </c>
      <c r="D206">
        <v>12</v>
      </c>
      <c r="E206">
        <v>11</v>
      </c>
      <c r="F206">
        <f t="shared" si="21"/>
        <v>1</v>
      </c>
      <c r="G206" s="2">
        <f t="shared" si="22"/>
        <v>8.3333333333333329E-2</v>
      </c>
      <c r="H206">
        <v>276</v>
      </c>
      <c r="I206">
        <v>39</v>
      </c>
      <c r="J206" s="3">
        <f t="shared" si="23"/>
        <v>3.68</v>
      </c>
      <c r="K206" s="3">
        <f t="shared" si="24"/>
        <v>7</v>
      </c>
      <c r="L206" s="4">
        <f t="shared" si="25"/>
        <v>0.52571428571428569</v>
      </c>
      <c r="M206" s="3">
        <f t="shared" ca="1" si="26"/>
        <v>1.2103957114437924</v>
      </c>
      <c r="N206" s="4">
        <f t="shared" ca="1" si="27"/>
        <v>0.9950684278046541</v>
      </c>
      <c r="P206" s="4" cm="1">
        <f t="array" aca="1" ref="P206" ca="1">IF(K206&lt;=J206,"Need More Agents",
  (POWER(K206,J206)/FACT(K206)*(K206/(K206-J206)))/
  (SUMPRODUCT(POWER(J206,ROW(INDIRECT("1:"&amp;K206))-1)/FACT(ROW(INDIRECT("1:"&amp;K206))-1))+
  (POWER(K206,J206)/FACT(K206)*(K206/(K206-J206)))))</f>
        <v>1.4559832470990545E-2</v>
      </c>
    </row>
    <row r="207" spans="1:16" x14ac:dyDescent="0.2">
      <c r="A207" t="s">
        <v>60</v>
      </c>
      <c r="B207" s="1">
        <v>45668</v>
      </c>
      <c r="C207" t="s">
        <v>45</v>
      </c>
      <c r="D207">
        <v>9</v>
      </c>
      <c r="E207">
        <v>9</v>
      </c>
      <c r="F207">
        <f t="shared" si="21"/>
        <v>0</v>
      </c>
      <c r="G207" s="2">
        <f t="shared" si="22"/>
        <v>0</v>
      </c>
      <c r="H207">
        <v>270</v>
      </c>
      <c r="I207">
        <v>22</v>
      </c>
      <c r="J207" s="3">
        <f t="shared" si="23"/>
        <v>2.7</v>
      </c>
      <c r="K207" s="3">
        <f t="shared" si="24"/>
        <v>6</v>
      </c>
      <c r="L207" s="4">
        <f t="shared" si="25"/>
        <v>0.45</v>
      </c>
      <c r="M207" s="3">
        <f t="shared" ca="1" si="26"/>
        <v>1.8162814084395087</v>
      </c>
      <c r="N207" s="4">
        <f t="shared" ca="1" si="27"/>
        <v>0.99261059647999195</v>
      </c>
      <c r="P207" s="4" cm="1">
        <f t="array" aca="1" ref="P207" ca="1">IF(K207&lt;=J207,"Need More Agents",
  (POWER(K207,J207)/FACT(K207)*(K207/(K207-J207)))/
  (SUMPRODUCT(POWER(J207,ROW(INDIRECT("1:"&amp;K207))-1)/FACT(ROW(INDIRECT("1:"&amp;K207))-1))+
  (POWER(K207,J207)/FACT(K207)*(K207/(K207-J207)))))</f>
        <v>2.2198994992038441E-2</v>
      </c>
    </row>
    <row r="208" spans="1:16" x14ac:dyDescent="0.2">
      <c r="A208" t="s">
        <v>60</v>
      </c>
      <c r="B208" s="1">
        <v>45668</v>
      </c>
      <c r="C208" t="s">
        <v>46</v>
      </c>
      <c r="D208">
        <v>7</v>
      </c>
      <c r="E208">
        <v>7</v>
      </c>
      <c r="F208">
        <f t="shared" si="21"/>
        <v>0</v>
      </c>
      <c r="G208" s="2">
        <f t="shared" si="22"/>
        <v>0</v>
      </c>
      <c r="H208">
        <v>264</v>
      </c>
      <c r="I208">
        <v>20</v>
      </c>
      <c r="J208" s="3">
        <f t="shared" si="23"/>
        <v>2.0533333333333332</v>
      </c>
      <c r="K208" s="3">
        <f t="shared" si="24"/>
        <v>5</v>
      </c>
      <c r="L208" s="4">
        <f t="shared" si="25"/>
        <v>0.41066666666666662</v>
      </c>
      <c r="M208" s="3">
        <f t="shared" ca="1" si="26"/>
        <v>4.4643764594863171</v>
      </c>
      <c r="N208" s="4">
        <f t="shared" ca="1" si="27"/>
        <v>0.98175182886698709</v>
      </c>
      <c r="P208" s="4" cm="1">
        <f t="array" aca="1" ref="P208" ca="1">IF(K208&lt;=J208,"Need More Agents",
  (POWER(K208,J208)/FACT(K208)*(K208/(K208-J208)))/
  (SUMPRODUCT(POWER(J208,ROW(INDIRECT("1:"&amp;K208))-1)/FACT(ROW(INDIRECT("1:"&amp;K208))-1))+
  (POWER(K208,J208)/FACT(K208)*(K208/(K208-J208)))))</f>
        <v>4.9829656441741213E-2</v>
      </c>
    </row>
    <row r="209" spans="1:16" x14ac:dyDescent="0.2">
      <c r="A209" t="s">
        <v>60</v>
      </c>
      <c r="B209" s="1">
        <v>45668</v>
      </c>
      <c r="C209" t="s">
        <v>47</v>
      </c>
      <c r="D209">
        <v>5</v>
      </c>
      <c r="E209">
        <v>5</v>
      </c>
      <c r="F209">
        <f t="shared" si="21"/>
        <v>0</v>
      </c>
      <c r="G209" s="2">
        <f t="shared" si="22"/>
        <v>0</v>
      </c>
      <c r="H209">
        <v>270</v>
      </c>
      <c r="I209">
        <v>18</v>
      </c>
      <c r="J209" s="3">
        <f t="shared" si="23"/>
        <v>1.5</v>
      </c>
      <c r="K209" s="3">
        <f t="shared" si="24"/>
        <v>4</v>
      </c>
      <c r="L209" s="4">
        <f t="shared" si="25"/>
        <v>0.375</v>
      </c>
      <c r="M209" s="3">
        <f t="shared" ca="1" si="26"/>
        <v>12.201235657546334</v>
      </c>
      <c r="N209" s="4">
        <f t="shared" ca="1" si="27"/>
        <v>0.95090152631164515</v>
      </c>
      <c r="P209" s="4" cm="1">
        <f t="array" aca="1" ref="P209" ca="1">IF(K209&lt;=J209,"Need More Agents",
  (POWER(K209,J209)/FACT(K209)*(K209/(K209-J209)))/
  (SUMPRODUCT(POWER(J209,ROW(INDIRECT("1:"&amp;K209))-1)/FACT(ROW(INDIRECT("1:"&amp;K209))-1))+
  (POWER(K209,J209)/FACT(K209)*(K209/(K209-J209)))))</f>
        <v>0.11297440423654014</v>
      </c>
    </row>
    <row r="210" spans="1:16" x14ac:dyDescent="0.2">
      <c r="A210" t="s">
        <v>60</v>
      </c>
      <c r="B210" s="1">
        <v>45668</v>
      </c>
      <c r="C210" t="s">
        <v>48</v>
      </c>
      <c r="D210">
        <v>10</v>
      </c>
      <c r="E210">
        <v>9</v>
      </c>
      <c r="F210">
        <f t="shared" si="21"/>
        <v>1</v>
      </c>
      <c r="G210" s="2">
        <f t="shared" si="22"/>
        <v>0.1</v>
      </c>
      <c r="H210">
        <v>270</v>
      </c>
      <c r="I210">
        <v>36</v>
      </c>
      <c r="J210" s="3">
        <f t="shared" si="23"/>
        <v>3</v>
      </c>
      <c r="K210" s="3">
        <f t="shared" si="24"/>
        <v>6</v>
      </c>
      <c r="L210" s="4">
        <f t="shared" si="25"/>
        <v>0.5</v>
      </c>
      <c r="M210" s="3">
        <f t="shared" ca="1" si="26"/>
        <v>2.8421052631578951</v>
      </c>
      <c r="N210" s="4">
        <f t="shared" ca="1" si="27"/>
        <v>0.98838275448932289</v>
      </c>
      <c r="P210" s="4" cm="1">
        <f t="array" aca="1" ref="P210" ca="1">IF(K210&lt;=J210,"Need More Agents",
  (POWER(K210,J210)/FACT(K210)*(K210/(K210-J210)))/
  (SUMPRODUCT(POWER(J210,ROW(INDIRECT("1:"&amp;K210))-1)/FACT(ROW(INDIRECT("1:"&amp;K210))-1))+
  (POWER(K210,J210)/FACT(K210)*(K210/(K210-J210)))))</f>
        <v>3.1578947368421054E-2</v>
      </c>
    </row>
    <row r="211" spans="1:16" x14ac:dyDescent="0.2">
      <c r="A211" t="s">
        <v>60</v>
      </c>
      <c r="B211" s="1">
        <v>45668</v>
      </c>
      <c r="C211" t="s">
        <v>49</v>
      </c>
      <c r="D211">
        <v>7</v>
      </c>
      <c r="E211">
        <v>7</v>
      </c>
      <c r="F211">
        <f t="shared" si="21"/>
        <v>0</v>
      </c>
      <c r="G211" s="2">
        <f t="shared" si="22"/>
        <v>0</v>
      </c>
      <c r="H211">
        <v>264</v>
      </c>
      <c r="I211">
        <v>20</v>
      </c>
      <c r="J211" s="3">
        <f t="shared" si="23"/>
        <v>2.0533333333333332</v>
      </c>
      <c r="K211" s="3">
        <f t="shared" si="24"/>
        <v>5</v>
      </c>
      <c r="L211" s="4">
        <f t="shared" si="25"/>
        <v>0.41066666666666662</v>
      </c>
      <c r="M211" s="3">
        <f t="shared" ca="1" si="26"/>
        <v>4.4643764594863171</v>
      </c>
      <c r="N211" s="4">
        <f t="shared" ca="1" si="27"/>
        <v>0.98175182886698709</v>
      </c>
      <c r="P211" s="4" cm="1">
        <f t="array" aca="1" ref="P211" ca="1">IF(K211&lt;=J211,"Need More Agents",
  (POWER(K211,J211)/FACT(K211)*(K211/(K211-J211)))/
  (SUMPRODUCT(POWER(J211,ROW(INDIRECT("1:"&amp;K211))-1)/FACT(ROW(INDIRECT("1:"&amp;K211))-1))+
  (POWER(K211,J211)/FACT(K211)*(K211/(K211-J211)))))</f>
        <v>4.9829656441741213E-2</v>
      </c>
    </row>
    <row r="212" spans="1:16" x14ac:dyDescent="0.2">
      <c r="A212" t="s">
        <v>60</v>
      </c>
      <c r="B212" s="1">
        <v>45668</v>
      </c>
      <c r="C212" t="s">
        <v>50</v>
      </c>
      <c r="D212">
        <v>5</v>
      </c>
      <c r="E212">
        <v>5</v>
      </c>
      <c r="F212">
        <f t="shared" si="21"/>
        <v>0</v>
      </c>
      <c r="G212" s="2">
        <f t="shared" si="22"/>
        <v>0</v>
      </c>
      <c r="H212">
        <v>270</v>
      </c>
      <c r="I212">
        <v>18</v>
      </c>
      <c r="J212" s="3">
        <f t="shared" si="23"/>
        <v>1.5</v>
      </c>
      <c r="K212" s="3">
        <f t="shared" si="24"/>
        <v>4</v>
      </c>
      <c r="L212" s="4">
        <f t="shared" si="25"/>
        <v>0.375</v>
      </c>
      <c r="M212" s="3">
        <f t="shared" ca="1" si="26"/>
        <v>12.201235657546334</v>
      </c>
      <c r="N212" s="4">
        <f t="shared" ca="1" si="27"/>
        <v>0.95090152631164515</v>
      </c>
      <c r="P212" s="4" cm="1">
        <f t="array" aca="1" ref="P212" ca="1">IF(K212&lt;=J212,"Need More Agents",
  (POWER(K212,J212)/FACT(K212)*(K212/(K212-J212)))/
  (SUMPRODUCT(POWER(J212,ROW(INDIRECT("1:"&amp;K212))-1)/FACT(ROW(INDIRECT("1:"&amp;K212))-1))+
  (POWER(K212,J212)/FACT(K212)*(K212/(K212-J212)))))</f>
        <v>0.11297440423654014</v>
      </c>
    </row>
    <row r="213" spans="1:16" x14ac:dyDescent="0.2">
      <c r="A213" t="s">
        <v>60</v>
      </c>
      <c r="B213" s="1">
        <v>45668</v>
      </c>
      <c r="C213" t="s">
        <v>51</v>
      </c>
      <c r="D213">
        <v>4</v>
      </c>
      <c r="E213">
        <v>4</v>
      </c>
      <c r="F213">
        <f t="shared" si="21"/>
        <v>0</v>
      </c>
      <c r="G213" s="2">
        <f t="shared" si="22"/>
        <v>0</v>
      </c>
      <c r="H213">
        <v>264</v>
      </c>
      <c r="I213">
        <v>17</v>
      </c>
      <c r="J213" s="3">
        <f t="shared" si="23"/>
        <v>1.1733333333333333</v>
      </c>
      <c r="K213" s="3">
        <f t="shared" si="24"/>
        <v>3</v>
      </c>
      <c r="L213" s="4">
        <f t="shared" si="25"/>
        <v>0.39111111111111113</v>
      </c>
      <c r="M213" s="3">
        <f t="shared" ca="1" si="26"/>
        <v>37.242680179605721</v>
      </c>
      <c r="N213" s="4">
        <f t="shared" ca="1" si="27"/>
        <v>0.8617550466870405</v>
      </c>
      <c r="P213" s="4" cm="1">
        <f t="array" aca="1" ref="P213" ca="1">IF(K213&lt;=J213,"Need More Agents",
  (POWER(K213,J213)/FACT(K213)*(K213/(K213-J213)))/
  (SUMPRODUCT(POWER(J213,ROW(INDIRECT("1:"&amp;K213))-1)/FACT(ROW(INDIRECT("1:"&amp;K213))-1))+
  (POWER(K213,J213)/FACT(K213)*(K213/(K213-J213)))))</f>
        <v>0.25768925174777696</v>
      </c>
    </row>
    <row r="214" spans="1:16" x14ac:dyDescent="0.2">
      <c r="A214" t="s">
        <v>60</v>
      </c>
      <c r="B214" s="1">
        <v>45668</v>
      </c>
      <c r="C214" t="s">
        <v>52</v>
      </c>
      <c r="D214">
        <v>8</v>
      </c>
      <c r="E214">
        <v>7</v>
      </c>
      <c r="F214">
        <f t="shared" si="21"/>
        <v>1</v>
      </c>
      <c r="G214" s="2">
        <f t="shared" si="22"/>
        <v>0.125</v>
      </c>
      <c r="H214">
        <v>276</v>
      </c>
      <c r="I214">
        <v>40</v>
      </c>
      <c r="J214" s="3">
        <f t="shared" si="23"/>
        <v>2.4533333333333331</v>
      </c>
      <c r="K214" s="3">
        <f t="shared" si="24"/>
        <v>5</v>
      </c>
      <c r="L214" s="4">
        <f t="shared" si="25"/>
        <v>0.49066666666666664</v>
      </c>
      <c r="M214" s="3">
        <f t="shared" ca="1" si="26"/>
        <v>8.150541447440558</v>
      </c>
      <c r="N214" s="4">
        <f t="shared" ca="1" si="27"/>
        <v>0.96722095938556696</v>
      </c>
      <c r="P214" s="4" cm="1">
        <f t="array" aca="1" ref="P214" ca="1">IF(K214&lt;=J214,"Need More Agents",
  (POWER(K214,J214)/FACT(K214)*(K214/(K214-J214)))/
  (SUMPRODUCT(POWER(J214,ROW(INDIRECT("1:"&amp;K214))-1)/FACT(ROW(INDIRECT("1:"&amp;K214))-1))+
  (POWER(K214,J214)/FACT(K214)*(K214/(K214-J214)))))</f>
        <v>7.5205479056094038E-2</v>
      </c>
    </row>
    <row r="215" spans="1:16" x14ac:dyDescent="0.2">
      <c r="A215" t="s">
        <v>60</v>
      </c>
      <c r="B215" s="1">
        <v>45668</v>
      </c>
      <c r="C215" t="s">
        <v>53</v>
      </c>
      <c r="D215">
        <v>6</v>
      </c>
      <c r="E215">
        <v>6</v>
      </c>
      <c r="F215">
        <f t="shared" si="21"/>
        <v>0</v>
      </c>
      <c r="G215" s="2">
        <f t="shared" si="22"/>
        <v>0</v>
      </c>
      <c r="H215">
        <v>270</v>
      </c>
      <c r="I215">
        <v>19</v>
      </c>
      <c r="J215" s="3">
        <f t="shared" si="23"/>
        <v>1.8</v>
      </c>
      <c r="K215" s="3">
        <f t="shared" si="24"/>
        <v>4</v>
      </c>
      <c r="L215" s="4">
        <f t="shared" si="25"/>
        <v>0.45</v>
      </c>
      <c r="M215" s="3">
        <f t="shared" ca="1" si="26"/>
        <v>17.865014595382185</v>
      </c>
      <c r="N215" s="4">
        <f t="shared" ca="1" si="27"/>
        <v>0.93008350121755878</v>
      </c>
      <c r="P215" s="4" cm="1">
        <f t="array" aca="1" ref="P215" ca="1">IF(K215&lt;=J215,"Need More Agents",
  (POWER(K215,J215)/FACT(K215)*(K215/(K215-J215)))/
  (SUMPRODUCT(POWER(J215,ROW(INDIRECT("1:"&amp;K215))-1)/FACT(ROW(INDIRECT("1:"&amp;K215))-1))+
  (POWER(K215,J215)/FACT(K215)*(K215/(K215-J215)))))</f>
        <v>0.14556678559200298</v>
      </c>
    </row>
    <row r="216" spans="1:16" x14ac:dyDescent="0.2">
      <c r="A216" t="s">
        <v>60</v>
      </c>
      <c r="B216" s="1">
        <v>45668</v>
      </c>
      <c r="C216" t="s">
        <v>54</v>
      </c>
      <c r="D216">
        <v>4</v>
      </c>
      <c r="E216">
        <v>4</v>
      </c>
      <c r="F216">
        <f t="shared" si="21"/>
        <v>0</v>
      </c>
      <c r="G216" s="2">
        <f t="shared" si="22"/>
        <v>0</v>
      </c>
      <c r="H216">
        <v>264</v>
      </c>
      <c r="I216">
        <v>17</v>
      </c>
      <c r="J216" s="3">
        <f t="shared" si="23"/>
        <v>1.1733333333333333</v>
      </c>
      <c r="K216" s="3">
        <f t="shared" si="24"/>
        <v>3</v>
      </c>
      <c r="L216" s="4">
        <f t="shared" si="25"/>
        <v>0.39111111111111113</v>
      </c>
      <c r="M216" s="3">
        <f t="shared" ca="1" si="26"/>
        <v>37.242680179605721</v>
      </c>
      <c r="N216" s="4">
        <f t="shared" ca="1" si="27"/>
        <v>0.8617550466870405</v>
      </c>
      <c r="P216" s="4" cm="1">
        <f t="array" aca="1" ref="P216" ca="1">IF(K216&lt;=J216,"Need More Agents",
  (POWER(K216,J216)/FACT(K216)*(K216/(K216-J216)))/
  (SUMPRODUCT(POWER(J216,ROW(INDIRECT("1:"&amp;K216))-1)/FACT(ROW(INDIRECT("1:"&amp;K216))-1))+
  (POWER(K216,J216)/FACT(K216)*(K216/(K216-J216)))))</f>
        <v>0.25768925174777696</v>
      </c>
    </row>
    <row r="217" spans="1:16" x14ac:dyDescent="0.2">
      <c r="A217" t="s">
        <v>60</v>
      </c>
      <c r="B217" s="1">
        <v>45668</v>
      </c>
      <c r="C217" t="s">
        <v>55</v>
      </c>
      <c r="D217">
        <v>3</v>
      </c>
      <c r="E217">
        <v>3</v>
      </c>
      <c r="F217">
        <f t="shared" si="21"/>
        <v>0</v>
      </c>
      <c r="G217" s="2">
        <f t="shared" si="22"/>
        <v>0</v>
      </c>
      <c r="H217">
        <v>270</v>
      </c>
      <c r="I217">
        <v>16</v>
      </c>
      <c r="J217" s="3">
        <f t="shared" si="23"/>
        <v>0.9</v>
      </c>
      <c r="K217" s="3">
        <f t="shared" si="24"/>
        <v>3</v>
      </c>
      <c r="L217" s="4">
        <f t="shared" si="25"/>
        <v>0.3</v>
      </c>
      <c r="M217" s="3">
        <f t="shared" ca="1" si="26"/>
        <v>27.939805905013362</v>
      </c>
      <c r="N217" s="4">
        <f t="shared" ca="1" si="27"/>
        <v>0.89208724553055718</v>
      </c>
      <c r="P217" s="4" cm="1">
        <f t="array" aca="1" ref="P217" ca="1">IF(K217&lt;=J217,"Need More Agents",
  (POWER(K217,J217)/FACT(K217)*(K217/(K217-J217)))/
  (SUMPRODUCT(POWER(J217,ROW(INDIRECT("1:"&amp;K217))-1)/FACT(ROW(INDIRECT("1:"&amp;K217))-1))+
  (POWER(K217,J217)/FACT(K217)*(K217/(K217-J217)))))</f>
        <v>0.21730960148343728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erlang_c_staffing_forecast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Pereda</dc:creator>
  <cp:lastModifiedBy>Dan Pereda</cp:lastModifiedBy>
  <dcterms:created xsi:type="dcterms:W3CDTF">2025-11-10T18:14:02Z</dcterms:created>
  <dcterms:modified xsi:type="dcterms:W3CDTF">2025-11-10T18:33:09Z</dcterms:modified>
</cp:coreProperties>
</file>