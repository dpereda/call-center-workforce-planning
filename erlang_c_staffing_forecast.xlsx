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60160" windowHeight="32080" tabRatio="600" firstSheet="0" activeTab="0" autoFilterDateGrouping="1"/>
  </bookViews>
  <sheets>
    <sheet xmlns:r="http://schemas.openxmlformats.org/officeDocument/2006/relationships" name="Schedule_Service_Level" sheetId="1" state="visible" r:id="rId1"/>
    <sheet xmlns:r="http://schemas.openxmlformats.org/officeDocument/2006/relationships" name="erlang_c_staffing_forecas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&quot; sec&quot;"/>
  </numFmts>
  <fonts count="3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Courier New"/>
      <family val="1"/>
      <color theme="1"/>
      <sz val="10.5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b val="1"/>
      <color rgb="00FFFFFF"/>
      <sz val="14"/>
    </font>
    <font>
      <i val="1"/>
      <sz val="9"/>
    </font>
    <font>
      <b val="1"/>
      <sz val="11"/>
    </font>
    <font>
      <b val="1"/>
      <color rgb="00C00000"/>
      <sz val="12"/>
    </font>
    <font>
      <i val="1"/>
      <color rgb="007F7F7F"/>
      <sz val="9"/>
    </font>
    <font>
      <b val="1"/>
      <color rgb="00FFFFFF"/>
      <sz val="11"/>
    </font>
    <font>
      <b val="1"/>
      <sz val="10"/>
    </font>
    <font>
      <b val="1"/>
    </font>
    <font>
      <b val="1"/>
      <sz val="12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203864"/>
        <bgColor rgb="00203864"/>
      </patternFill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7">
    <xf numFmtId="0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0" fontId="18" fillId="0" borderId="0" applyAlignment="1" pivotButton="0" quotePrefix="0" xfId="0">
      <alignment vertical="center"/>
    </xf>
    <xf numFmtId="10" fontId="18" fillId="0" borderId="0" applyAlignment="1" pivotButton="0" quotePrefix="0" xfId="0">
      <alignment vertical="center"/>
    </xf>
    <xf numFmtId="10" fontId="18" fillId="0" borderId="0" pivotButton="0" quotePrefix="0" xfId="0"/>
    <xf numFmtId="0" fontId="21" fillId="33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3" fillId="0" borderId="0" pivotButton="0" quotePrefix="0" xfId="0"/>
    <xf numFmtId="9" fontId="24" fillId="34" borderId="10" pivotButton="0" quotePrefix="0" xfId="0"/>
    <xf numFmtId="0" fontId="25" fillId="0" borderId="0" pivotButton="0" quotePrefix="0" xfId="0"/>
    <xf numFmtId="0" fontId="26" fillId="35" borderId="0" applyAlignment="1" pivotButton="0" quotePrefix="0" xfId="0">
      <alignment horizontal="center" vertical="center"/>
    </xf>
    <xf numFmtId="0" fontId="27" fillId="36" borderId="10" applyAlignment="1" pivotButton="0" quotePrefix="0" xfId="0">
      <alignment horizontal="center" vertical="center"/>
    </xf>
    <xf numFmtId="0" fontId="0" fillId="34" borderId="10" applyAlignment="1" pivotButton="0" quotePrefix="0" xfId="0">
      <alignment horizontal="center" vertical="center"/>
    </xf>
    <xf numFmtId="164" fontId="0" fillId="37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2" fontId="0" fillId="37" borderId="10" applyAlignment="1" pivotButton="0" quotePrefix="0" xfId="0">
      <alignment horizontal="center" vertical="center"/>
    </xf>
    <xf numFmtId="165" fontId="0" fillId="37" borderId="10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0" fontId="28" fillId="0" borderId="0" pivotButton="0" quotePrefix="0" xfId="0"/>
    <xf numFmtId="165" fontId="29" fillId="38" borderId="0" pivotButton="0" quotePrefix="0" xfId="0"/>
    <xf numFmtId="0" fontId="24" fillId="0" borderId="0" pivotButton="0" quotePrefix="0" xfId="0"/>
    <xf numFmtId="165" fontId="29" fillId="0" borderId="0" pivotButton="0" quotePrefix="0" xfId="0"/>
    <xf numFmtId="166" fontId="29" fillId="0" borderId="0" pivotButton="0" quotePrefix="0" xfId="0"/>
    <xf numFmtId="164" fontId="29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Dan Pereda</author>
  </authors>
  <commentList>
    <comment ref="K1" authorId="0" shapeId="0">
      <text>
        <t xml:space="preserve">Dan Pereda:
safety factor is set at 1.5 increase for more safety.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8" customWidth="1" min="10" max="10"/>
    <col width="20" customWidth="1" min="11" max="11"/>
    <col width="14" customWidth="1" min="12" max="12"/>
    <col width="14" customWidth="1" min="13" max="13"/>
    <col width="16" customWidth="1" min="14" max="14"/>
  </cols>
  <sheetData>
    <row r="1">
      <c r="A1" s="6" t="inlineStr">
        <is>
          <t>SERVICE LEVEL CALCULATOR - Agent Schedule → Achievable Service Levels</t>
        </is>
      </c>
    </row>
    <row r="2" ht="30" customHeight="1">
      <c r="A2" s="7" t="inlineStr">
        <is>
          <t>Instructions: Enter your Shrinkage Rate in cell E4. Enter your Scheduled Agents in column D (starting row 7). The calculator will show achievable service levels.</t>
        </is>
      </c>
    </row>
    <row r="4">
      <c r="A4" s="8" t="inlineStr">
        <is>
          <t>Shrinkage Rate:</t>
        </is>
      </c>
      <c r="E4" s="9" t="n">
        <v>0.25</v>
      </c>
      <c r="F4" s="10" t="inlineStr">
        <is>
          <t>Typical shrinkage: 25-30% (includes breaks, lunch, meetings, training, absenteeism)</t>
        </is>
      </c>
    </row>
    <row r="6">
      <c r="A6" s="11" t="inlineStr">
        <is>
          <t>SCHEDULE INPUTS</t>
        </is>
      </c>
      <c r="D6" s="11" t="inlineStr">
        <is>
          <t>STAFFING</t>
        </is>
      </c>
      <c r="F6" s="11" t="inlineStr">
        <is>
          <t>CALCULATIONS</t>
        </is>
      </c>
      <c r="J6" s="11" t="inlineStr">
        <is>
          <t>OUTPUTS &amp; METRICS</t>
        </is>
      </c>
    </row>
    <row r="7">
      <c r="A7" s="12" t="inlineStr">
        <is>
          <t>Day</t>
        </is>
      </c>
      <c r="B7" s="12" t="inlineStr">
        <is>
          <t>Date</t>
        </is>
      </c>
      <c r="C7" s="12" t="inlineStr">
        <is>
          <t>Time Interval</t>
        </is>
      </c>
      <c r="D7" s="12" t="inlineStr">
        <is>
          <t>Scheduled Agents</t>
        </is>
      </c>
      <c r="E7" s="12" t="inlineStr">
        <is>
          <t>Net Agents</t>
        </is>
      </c>
      <c r="F7" s="12" t="inlineStr">
        <is>
          <t>Calls Offered</t>
        </is>
      </c>
      <c r="G7" s="12" t="inlineStr">
        <is>
          <t>AHT (sec)</t>
        </is>
      </c>
      <c r="H7" s="12" t="inlineStr">
        <is>
          <t>Traffic (Erlangs)</t>
        </is>
      </c>
      <c r="I7" s="12" t="inlineStr">
        <is>
          <t>Req. Agents</t>
        </is>
      </c>
      <c r="J7" s="12" t="inlineStr">
        <is>
          <t>Erlang C Prob.</t>
        </is>
      </c>
      <c r="K7" s="12" t="inlineStr">
        <is>
          <t>Service Level %</t>
        </is>
      </c>
      <c r="L7" s="12" t="inlineStr">
        <is>
          <t>ASA (sec)</t>
        </is>
      </c>
      <c r="M7" s="12" t="inlineStr">
        <is>
          <t>Occupancy %</t>
        </is>
      </c>
      <c r="N7" s="12" t="inlineStr">
        <is>
          <t>Staffing Gap</t>
        </is>
      </c>
    </row>
    <row r="8">
      <c r="A8" t="inlineStr">
        <is>
          <t>Monday</t>
        </is>
      </c>
      <c r="B8" t="inlineStr">
        <is>
          <t>1/6/25</t>
        </is>
      </c>
      <c r="C8" t="inlineStr">
        <is>
          <t>08:00-08:15</t>
        </is>
      </c>
      <c r="D8" s="13" t="n">
        <v>9</v>
      </c>
      <c r="E8" s="14">
        <f>ROUND(D8*(1-$E$4),1)</f>
        <v/>
      </c>
      <c r="F8" s="15" t="n">
        <v>9</v>
      </c>
      <c r="G8" s="15" t="n">
        <v>18</v>
      </c>
      <c r="H8" s="15" t="n">
        <v>258</v>
      </c>
      <c r="I8" s="16">
        <f>(G8*H8)/900</f>
        <v/>
      </c>
      <c r="J8" s="17">
        <f>IF(E8&lt;=I8,"Need More",
(POWER(E8,I8)/FACT(E8)*(E8/(E8-I8)))/
(SUMPRODUCT(POWER(I8,ROW(INDIRECT("0:"&amp;(E8-1))))/
FACT(ROW(INDIRECT("0:"&amp;(E8-1)))))+
(POWER(E8,I8)/FACT(E8)*(E8/(E8-I8)))))</f>
        <v/>
      </c>
      <c r="K8" s="18">
        <f>IF(E8&lt;=I8,0,
IF(ISNUMBER(J8),1-(J8*EXP(-((E8-I8)*(90/H8)))),0))</f>
        <v/>
      </c>
      <c r="L8" s="19">
        <f>IF(E8&lt;=I8,"Need More",IF(ISNUMBER(J8),(J8*H8)/(E8-I8),0))</f>
        <v/>
      </c>
      <c r="M8" s="18">
        <f>IF(E8&gt;0,I8/E8,0)</f>
        <v/>
      </c>
      <c r="N8" s="20">
        <f>E8-F8</f>
        <v/>
      </c>
    </row>
    <row r="9">
      <c r="A9" t="inlineStr">
        <is>
          <t>Monday</t>
        </is>
      </c>
      <c r="B9" t="inlineStr">
        <is>
          <t>1/6/25</t>
        </is>
      </c>
      <c r="C9" t="inlineStr">
        <is>
          <t>08:15-08:30</t>
        </is>
      </c>
      <c r="D9" s="13" t="n">
        <v>8</v>
      </c>
      <c r="E9" s="14">
        <f>ROUND(D9*(1-$E$4),1)</f>
        <v/>
      </c>
      <c r="F9" s="15" t="n">
        <v>8</v>
      </c>
      <c r="G9" s="15" t="n">
        <v>14</v>
      </c>
      <c r="H9" s="15" t="n">
        <v>264</v>
      </c>
      <c r="I9" s="16">
        <f>(G9*H9)/900</f>
        <v/>
      </c>
      <c r="J9" s="17">
        <f>IF(E9&lt;=I9,"Need More",
(POWER(E9,I9)/FACT(E9)*(E9/(E9-I9)))/
(SUMPRODUCT(POWER(I9,ROW(INDIRECT("0:"&amp;(E9-1))))/
FACT(ROW(INDIRECT("0:"&amp;(E9-1)))))+
(POWER(E9,I9)/FACT(E9)*(E9/(E9-I9)))))</f>
        <v/>
      </c>
      <c r="K9" s="18">
        <f>IF(E9&lt;=I9,0,
IF(ISNUMBER(J9),1-(J9*EXP(-((E9-I9)*(90/H9)))),0))</f>
        <v/>
      </c>
      <c r="L9" s="19">
        <f>IF(E9&lt;=I9,"Need More",IF(ISNUMBER(J9),(J9*H9)/(E9-I9),0))</f>
        <v/>
      </c>
      <c r="M9" s="18">
        <f>IF(E9&gt;0,I9/E9,0)</f>
        <v/>
      </c>
      <c r="N9" s="20">
        <f>E9-F9</f>
        <v/>
      </c>
    </row>
    <row r="10">
      <c r="A10" t="inlineStr">
        <is>
          <t>Monday</t>
        </is>
      </c>
      <c r="B10" t="inlineStr">
        <is>
          <t>1/6/25</t>
        </is>
      </c>
      <c r="C10" t="inlineStr">
        <is>
          <t>08:30-08:45</t>
        </is>
      </c>
      <c r="D10" s="13" t="n">
        <v>7</v>
      </c>
      <c r="E10" s="14">
        <f>ROUND(D10*(1-$E$4),1)</f>
        <v/>
      </c>
      <c r="F10" s="15" t="n">
        <v>7</v>
      </c>
      <c r="G10" s="15" t="n">
        <v>11</v>
      </c>
      <c r="H10" s="15" t="n">
        <v>276</v>
      </c>
      <c r="I10" s="16">
        <f>(G10*H10)/900</f>
        <v/>
      </c>
      <c r="J10" s="17">
        <f>IF(E10&lt;=I10,"Need More",
(POWER(E10,I10)/FACT(E10)*(E10/(E10-I10)))/
(SUMPRODUCT(POWER(I10,ROW(INDIRECT("0:"&amp;(E10-1))))/
FACT(ROW(INDIRECT("0:"&amp;(E10-1)))))+
(POWER(E10,I10)/FACT(E10)*(E10/(E10-I10)))))</f>
        <v/>
      </c>
      <c r="K10" s="18">
        <f>IF(E10&lt;=I10,0,
IF(ISNUMBER(J10),1-(J10*EXP(-((E10-I10)*(90/H10)))),0))</f>
        <v/>
      </c>
      <c r="L10" s="19">
        <f>IF(E10&lt;=I10,"Need More",IF(ISNUMBER(J10),(J10*H10)/(E10-I10),0))</f>
        <v/>
      </c>
      <c r="M10" s="18">
        <f>IF(E10&gt;0,I10/E10,0)</f>
        <v/>
      </c>
      <c r="N10" s="20">
        <f>E10-F10</f>
        <v/>
      </c>
    </row>
    <row r="11">
      <c r="A11" t="inlineStr">
        <is>
          <t>Monday</t>
        </is>
      </c>
      <c r="B11" t="inlineStr">
        <is>
          <t>1/6/25</t>
        </is>
      </c>
      <c r="C11" t="inlineStr">
        <is>
          <t>08:45-09:00</t>
        </is>
      </c>
      <c r="D11" s="13" t="n">
        <v>6</v>
      </c>
      <c r="E11" s="14">
        <f>ROUND(D11*(1-$E$4),1)</f>
        <v/>
      </c>
      <c r="F11" s="15" t="n">
        <v>6</v>
      </c>
      <c r="G11" s="15" t="n">
        <v>9</v>
      </c>
      <c r="H11" s="15" t="n">
        <v>270</v>
      </c>
      <c r="I11" s="16">
        <f>(G11*H11)/900</f>
        <v/>
      </c>
      <c r="J11" s="17">
        <f>IF(E11&lt;=I11,"Need More",
(POWER(E11,I11)/FACT(E11)*(E11/(E11-I11)))/
(SUMPRODUCT(POWER(I11,ROW(INDIRECT("0:"&amp;(E11-1))))/
FACT(ROW(INDIRECT("0:"&amp;(E11-1)))))+
(POWER(E11,I11)/FACT(E11)*(E11/(E11-I11)))))</f>
        <v/>
      </c>
      <c r="K11" s="18">
        <f>IF(E11&lt;=I11,0,
IF(ISNUMBER(J11),1-(J11*EXP(-((E11-I11)*(90/H11)))),0))</f>
        <v/>
      </c>
      <c r="L11" s="19">
        <f>IF(E11&lt;=I11,"Need More",IF(ISNUMBER(J11),(J11*H11)/(E11-I11),0))</f>
        <v/>
      </c>
      <c r="M11" s="18">
        <f>IF(E11&gt;0,I11/E11,0)</f>
        <v/>
      </c>
      <c r="N11" s="20">
        <f>E11-F11</f>
        <v/>
      </c>
    </row>
    <row r="12">
      <c r="A12" t="inlineStr">
        <is>
          <t>Monday</t>
        </is>
      </c>
      <c r="B12" t="inlineStr">
        <is>
          <t>1/6/25</t>
        </is>
      </c>
      <c r="C12" t="inlineStr">
        <is>
          <t>09:00-09:15</t>
        </is>
      </c>
      <c r="D12" s="13" t="n">
        <v>12</v>
      </c>
      <c r="E12" s="14">
        <f>ROUND(D12*(1-$E$4),1)</f>
        <v/>
      </c>
      <c r="F12" s="15" t="n">
        <v>12</v>
      </c>
      <c r="G12" s="15" t="n">
        <v>28</v>
      </c>
      <c r="H12" s="15" t="n">
        <v>264</v>
      </c>
      <c r="I12" s="16">
        <f>(G12*H12)/900</f>
        <v/>
      </c>
      <c r="J12" s="17">
        <f>IF(E12&lt;=I12,"Need More",
(POWER(E12,I12)/FACT(E12)*(E12/(E12-I12)))/
(SUMPRODUCT(POWER(I12,ROW(INDIRECT("0:"&amp;(E12-1))))/
FACT(ROW(INDIRECT("0:"&amp;(E12-1)))))+
(POWER(E12,I12)/FACT(E12)*(E12/(E12-I12)))))</f>
        <v/>
      </c>
      <c r="K12" s="18">
        <f>IF(E12&lt;=I12,0,
IF(ISNUMBER(J12),1-(J12*EXP(-((E12-I12)*(90/H12)))),0))</f>
        <v/>
      </c>
      <c r="L12" s="19">
        <f>IF(E12&lt;=I12,"Need More",IF(ISNUMBER(J12),(J12*H12)/(E12-I12),0))</f>
        <v/>
      </c>
      <c r="M12" s="18">
        <f>IF(E12&gt;0,I12/E12,0)</f>
        <v/>
      </c>
      <c r="N12" s="20">
        <f>E12-F12</f>
        <v/>
      </c>
    </row>
    <row r="13">
      <c r="A13" t="inlineStr">
        <is>
          <t>Monday</t>
        </is>
      </c>
      <c r="B13" t="inlineStr">
        <is>
          <t>1/6/25</t>
        </is>
      </c>
      <c r="C13" t="inlineStr">
        <is>
          <t>09:15-09:30</t>
        </is>
      </c>
      <c r="D13" s="13" t="n">
        <v>10</v>
      </c>
      <c r="E13" s="14">
        <f>ROUND(D13*(1-$E$4),1)</f>
        <v/>
      </c>
      <c r="F13" s="15" t="n">
        <v>10</v>
      </c>
      <c r="G13" s="15" t="n">
        <v>19</v>
      </c>
      <c r="H13" s="15" t="n">
        <v>270</v>
      </c>
      <c r="I13" s="16">
        <f>(G13*H13)/900</f>
        <v/>
      </c>
      <c r="J13" s="17">
        <f>IF(E13&lt;=I13,"Need More",
(POWER(E13,I13)/FACT(E13)*(E13/(E13-I13)))/
(SUMPRODUCT(POWER(I13,ROW(INDIRECT("0:"&amp;(E13-1))))/
FACT(ROW(INDIRECT("0:"&amp;(E13-1)))))+
(POWER(E13,I13)/FACT(E13)*(E13/(E13-I13)))))</f>
        <v/>
      </c>
      <c r="K13" s="18">
        <f>IF(E13&lt;=I13,0,
IF(ISNUMBER(J13),1-(J13*EXP(-((E13-I13)*(90/H13)))),0))</f>
        <v/>
      </c>
      <c r="L13" s="19">
        <f>IF(E13&lt;=I13,"Need More",IF(ISNUMBER(J13),(J13*H13)/(E13-I13),0))</f>
        <v/>
      </c>
      <c r="M13" s="18">
        <f>IF(E13&gt;0,I13/E13,0)</f>
        <v/>
      </c>
      <c r="N13" s="20">
        <f>E13-F13</f>
        <v/>
      </c>
    </row>
    <row r="14">
      <c r="A14" t="inlineStr">
        <is>
          <t>Monday</t>
        </is>
      </c>
      <c r="B14" t="inlineStr">
        <is>
          <t>1/6/25</t>
        </is>
      </c>
      <c r="C14" t="inlineStr">
        <is>
          <t>09:30-09:45</t>
        </is>
      </c>
      <c r="D14" s="13" t="n">
        <v>9</v>
      </c>
      <c r="E14" s="14">
        <f>ROUND(D14*(1-$E$4),1)</f>
        <v/>
      </c>
      <c r="F14" s="15" t="n">
        <v>9</v>
      </c>
      <c r="G14" s="15" t="n">
        <v>16</v>
      </c>
      <c r="H14" s="15" t="n">
        <v>276</v>
      </c>
      <c r="I14" s="16">
        <f>(G14*H14)/900</f>
        <v/>
      </c>
      <c r="J14" s="17">
        <f>IF(E14&lt;=I14,"Need More",
(POWER(E14,I14)/FACT(E14)*(E14/(E14-I14)))/
(SUMPRODUCT(POWER(I14,ROW(INDIRECT("0:"&amp;(E14-1))))/
FACT(ROW(INDIRECT("0:"&amp;(E14-1)))))+
(POWER(E14,I14)/FACT(E14)*(E14/(E14-I14)))))</f>
        <v/>
      </c>
      <c r="K14" s="18">
        <f>IF(E14&lt;=I14,0,
IF(ISNUMBER(J14),1-(J14*EXP(-((E14-I14)*(90/H14)))),0))</f>
        <v/>
      </c>
      <c r="L14" s="19">
        <f>IF(E14&lt;=I14,"Need More",IF(ISNUMBER(J14),(J14*H14)/(E14-I14),0))</f>
        <v/>
      </c>
      <c r="M14" s="18">
        <f>IF(E14&gt;0,I14/E14,0)</f>
        <v/>
      </c>
      <c r="N14" s="20">
        <f>E14-F14</f>
        <v/>
      </c>
    </row>
    <row r="15">
      <c r="A15" t="inlineStr">
        <is>
          <t>Monday</t>
        </is>
      </c>
      <c r="B15" t="inlineStr">
        <is>
          <t>1/6/25</t>
        </is>
      </c>
      <c r="C15" t="inlineStr">
        <is>
          <t>09:45-10:00</t>
        </is>
      </c>
      <c r="D15" s="13" t="n">
        <v>8</v>
      </c>
      <c r="E15" s="14">
        <f>ROUND(D15*(1-$E$4),1)</f>
        <v/>
      </c>
      <c r="F15" s="15" t="n">
        <v>8</v>
      </c>
      <c r="G15" s="15" t="n">
        <v>13</v>
      </c>
      <c r="H15" s="15" t="n">
        <v>264</v>
      </c>
      <c r="I15" s="16">
        <f>(G15*H15)/900</f>
        <v/>
      </c>
      <c r="J15" s="17">
        <f>IF(E15&lt;=I15,"Need More",
(POWER(E15,I15)/FACT(E15)*(E15/(E15-I15)))/
(SUMPRODUCT(POWER(I15,ROW(INDIRECT("0:"&amp;(E15-1))))/
FACT(ROW(INDIRECT("0:"&amp;(E15-1)))))+
(POWER(E15,I15)/FACT(E15)*(E15/(E15-I15)))))</f>
        <v/>
      </c>
      <c r="K15" s="18">
        <f>IF(E15&lt;=I15,0,
IF(ISNUMBER(J15),1-(J15*EXP(-((E15-I15)*(90/H15)))),0))</f>
        <v/>
      </c>
      <c r="L15" s="19">
        <f>IF(E15&lt;=I15,"Need More",IF(ISNUMBER(J15),(J15*H15)/(E15-I15),0))</f>
        <v/>
      </c>
      <c r="M15" s="18">
        <f>IF(E15&gt;0,I15/E15,0)</f>
        <v/>
      </c>
      <c r="N15" s="20">
        <f>E15-F15</f>
        <v/>
      </c>
    </row>
    <row r="16">
      <c r="A16" t="inlineStr">
        <is>
          <t>Monday</t>
        </is>
      </c>
      <c r="B16" t="inlineStr">
        <is>
          <t>1/6/25</t>
        </is>
      </c>
      <c r="C16" t="inlineStr">
        <is>
          <t>10:00-10:15</t>
        </is>
      </c>
      <c r="D16" s="13" t="n">
        <v>16</v>
      </c>
      <c r="E16" s="14">
        <f>ROUND(D16*(1-$E$4),1)</f>
        <v/>
      </c>
      <c r="F16" s="15" t="n">
        <v>16</v>
      </c>
      <c r="G16" s="15" t="n">
        <v>35</v>
      </c>
      <c r="H16" s="15" t="n">
        <v>276</v>
      </c>
      <c r="I16" s="16">
        <f>(G16*H16)/900</f>
        <v/>
      </c>
      <c r="J16" s="17">
        <f>IF(E16&lt;=I16,"Need More",
(POWER(E16,I16)/FACT(E16)*(E16/(E16-I16)))/
(SUMPRODUCT(POWER(I16,ROW(INDIRECT("0:"&amp;(E16-1))))/
FACT(ROW(INDIRECT("0:"&amp;(E16-1)))))+
(POWER(E16,I16)/FACT(E16)*(E16/(E16-I16)))))</f>
        <v/>
      </c>
      <c r="K16" s="18">
        <f>IF(E16&lt;=I16,0,
IF(ISNUMBER(J16),1-(J16*EXP(-((E16-I16)*(90/H16)))),0))</f>
        <v/>
      </c>
      <c r="L16" s="19">
        <f>IF(E16&lt;=I16,"Need More",IF(ISNUMBER(J16),(J16*H16)/(E16-I16),0))</f>
        <v/>
      </c>
      <c r="M16" s="18">
        <f>IF(E16&gt;0,I16/E16,0)</f>
        <v/>
      </c>
      <c r="N16" s="20">
        <f>E16-F16</f>
        <v/>
      </c>
    </row>
    <row r="17">
      <c r="A17" t="inlineStr">
        <is>
          <t>Monday</t>
        </is>
      </c>
      <c r="B17" t="inlineStr">
        <is>
          <t>1/6/25</t>
        </is>
      </c>
      <c r="C17" t="inlineStr">
        <is>
          <t>10:15-10:30</t>
        </is>
      </c>
      <c r="D17" s="13" t="n">
        <v>12</v>
      </c>
      <c r="E17" s="14">
        <f>ROUND(D17*(1-$E$4),1)</f>
        <v/>
      </c>
      <c r="F17" s="15" t="n">
        <v>12</v>
      </c>
      <c r="G17" s="15" t="n">
        <v>24</v>
      </c>
      <c r="H17" s="15" t="n">
        <v>270</v>
      </c>
      <c r="I17" s="16">
        <f>(G17*H17)/900</f>
        <v/>
      </c>
      <c r="J17" s="17">
        <f>IF(E17&lt;=I17,"Need More",
(POWER(E17,I17)/FACT(E17)*(E17/(E17-I17)))/
(SUMPRODUCT(POWER(I17,ROW(INDIRECT("0:"&amp;(E17-1))))/
FACT(ROW(INDIRECT("0:"&amp;(E17-1)))))+
(POWER(E17,I17)/FACT(E17)*(E17/(E17-I17)))))</f>
        <v/>
      </c>
      <c r="K17" s="18">
        <f>IF(E17&lt;=I17,0,
IF(ISNUMBER(J17),1-(J17*EXP(-((E17-I17)*(90/H17)))),0))</f>
        <v/>
      </c>
      <c r="L17" s="19">
        <f>IF(E17&lt;=I17,"Need More",IF(ISNUMBER(J17),(J17*H17)/(E17-I17),0))</f>
        <v/>
      </c>
      <c r="M17" s="18">
        <f>IF(E17&gt;0,I17/E17,0)</f>
        <v/>
      </c>
      <c r="N17" s="20">
        <f>E17-F17</f>
        <v/>
      </c>
    </row>
    <row r="18">
      <c r="A18" t="inlineStr">
        <is>
          <t>Monday</t>
        </is>
      </c>
      <c r="B18" t="inlineStr">
        <is>
          <t>1/6/25</t>
        </is>
      </c>
      <c r="C18" t="inlineStr">
        <is>
          <t>10:30-10:45</t>
        </is>
      </c>
      <c r="D18" s="13" t="n">
        <v>10</v>
      </c>
      <c r="E18" s="14">
        <f>ROUND(D18*(1-$E$4),1)</f>
        <v/>
      </c>
      <c r="F18" s="15" t="n">
        <v>10</v>
      </c>
      <c r="G18" s="15" t="n">
        <v>20</v>
      </c>
      <c r="H18" s="15" t="n">
        <v>264</v>
      </c>
      <c r="I18" s="16">
        <f>(G18*H18)/900</f>
        <v/>
      </c>
      <c r="J18" s="17">
        <f>IF(E18&lt;=I18,"Need More",
(POWER(E18,I18)/FACT(E18)*(E18/(E18-I18)))/
(SUMPRODUCT(POWER(I18,ROW(INDIRECT("0:"&amp;(E18-1))))/
FACT(ROW(INDIRECT("0:"&amp;(E18-1)))))+
(POWER(E18,I18)/FACT(E18)*(E18/(E18-I18)))))</f>
        <v/>
      </c>
      <c r="K18" s="18">
        <f>IF(E18&lt;=I18,0,
IF(ISNUMBER(J18),1-(J18*EXP(-((E18-I18)*(90/H18)))),0))</f>
        <v/>
      </c>
      <c r="L18" s="19">
        <f>IF(E18&lt;=I18,"Need More",IF(ISNUMBER(J18),(J18*H18)/(E18-I18),0))</f>
        <v/>
      </c>
      <c r="M18" s="18">
        <f>IF(E18&gt;0,I18/E18,0)</f>
        <v/>
      </c>
      <c r="N18" s="20">
        <f>E18-F18</f>
        <v/>
      </c>
    </row>
    <row r="19">
      <c r="A19" t="inlineStr">
        <is>
          <t>Monday</t>
        </is>
      </c>
      <c r="B19" t="inlineStr">
        <is>
          <t>1/6/25</t>
        </is>
      </c>
      <c r="C19" t="inlineStr">
        <is>
          <t>10:45-11:00</t>
        </is>
      </c>
      <c r="D19" s="13" t="n">
        <v>9</v>
      </c>
      <c r="E19" s="14">
        <f>ROUND(D19*(1-$E$4),1)</f>
        <v/>
      </c>
      <c r="F19" s="15" t="n">
        <v>9</v>
      </c>
      <c r="G19" s="15" t="n">
        <v>16</v>
      </c>
      <c r="H19" s="15" t="n">
        <v>270</v>
      </c>
      <c r="I19" s="16">
        <f>(G19*H19)/900</f>
        <v/>
      </c>
      <c r="J19" s="17">
        <f>IF(E19&lt;=I19,"Need More",
(POWER(E19,I19)/FACT(E19)*(E19/(E19-I19)))/
(SUMPRODUCT(POWER(I19,ROW(INDIRECT("0:"&amp;(E19-1))))/
FACT(ROW(INDIRECT("0:"&amp;(E19-1)))))+
(POWER(E19,I19)/FACT(E19)*(E19/(E19-I19)))))</f>
        <v/>
      </c>
      <c r="K19" s="18">
        <f>IF(E19&lt;=I19,0,
IF(ISNUMBER(J19),1-(J19*EXP(-((E19-I19)*(90/H19)))),0))</f>
        <v/>
      </c>
      <c r="L19" s="19">
        <f>IF(E19&lt;=I19,"Need More",IF(ISNUMBER(J19),(J19*H19)/(E19-I19),0))</f>
        <v/>
      </c>
      <c r="M19" s="18">
        <f>IF(E19&gt;0,I19/E19,0)</f>
        <v/>
      </c>
      <c r="N19" s="20">
        <f>E19-F19</f>
        <v/>
      </c>
    </row>
    <row r="20">
      <c r="A20" t="inlineStr">
        <is>
          <t>Monday</t>
        </is>
      </c>
      <c r="B20" t="inlineStr">
        <is>
          <t>1/6/25</t>
        </is>
      </c>
      <c r="C20" t="inlineStr">
        <is>
          <t>11:00-11:15</t>
        </is>
      </c>
      <c r="D20" s="13" t="n">
        <v>15</v>
      </c>
      <c r="E20" s="14">
        <f>ROUND(D20*(1-$E$4),1)</f>
        <v/>
      </c>
      <c r="F20" s="15" t="n">
        <v>15</v>
      </c>
      <c r="G20" s="15" t="n">
        <v>32</v>
      </c>
      <c r="H20" s="15" t="n">
        <v>282</v>
      </c>
      <c r="I20" s="16">
        <f>(G20*H20)/900</f>
        <v/>
      </c>
      <c r="J20" s="17">
        <f>IF(E20&lt;=I20,"Need More",
(POWER(E20,I20)/FACT(E20)*(E20/(E20-I20)))/
(SUMPRODUCT(POWER(I20,ROW(INDIRECT("0:"&amp;(E20-1))))/
FACT(ROW(INDIRECT("0:"&amp;(E20-1)))))+
(POWER(E20,I20)/FACT(E20)*(E20/(E20-I20)))))</f>
        <v/>
      </c>
      <c r="K20" s="18">
        <f>IF(E20&lt;=I20,0,
IF(ISNUMBER(J20),1-(J20*EXP(-((E20-I20)*(90/H20)))),0))</f>
        <v/>
      </c>
      <c r="L20" s="19">
        <f>IF(E20&lt;=I20,"Need More",IF(ISNUMBER(J20),(J20*H20)/(E20-I20),0))</f>
        <v/>
      </c>
      <c r="M20" s="18">
        <f>IF(E20&gt;0,I20/E20,0)</f>
        <v/>
      </c>
      <c r="N20" s="20">
        <f>E20-F20</f>
        <v/>
      </c>
    </row>
    <row r="21">
      <c r="A21" t="inlineStr">
        <is>
          <t>Monday</t>
        </is>
      </c>
      <c r="B21" t="inlineStr">
        <is>
          <t>1/6/25</t>
        </is>
      </c>
      <c r="C21" t="inlineStr">
        <is>
          <t>11:15-11:30</t>
        </is>
      </c>
      <c r="D21" s="13" t="n">
        <v>12</v>
      </c>
      <c r="E21" s="14">
        <f>ROUND(D21*(1-$E$4),1)</f>
        <v/>
      </c>
      <c r="F21" s="15" t="n">
        <v>12</v>
      </c>
      <c r="G21" s="15" t="n">
        <v>22</v>
      </c>
      <c r="H21" s="15" t="n">
        <v>276</v>
      </c>
      <c r="I21" s="16">
        <f>(G21*H21)/900</f>
        <v/>
      </c>
      <c r="J21" s="17">
        <f>IF(E21&lt;=I21,"Need More",
(POWER(E21,I21)/FACT(E21)*(E21/(E21-I21)))/
(SUMPRODUCT(POWER(I21,ROW(INDIRECT("0:"&amp;(E21-1))))/
FACT(ROW(INDIRECT("0:"&amp;(E21-1)))))+
(POWER(E21,I21)/FACT(E21)*(E21/(E21-I21)))))</f>
        <v/>
      </c>
      <c r="K21" s="18">
        <f>IF(E21&lt;=I21,0,
IF(ISNUMBER(J21),1-(J21*EXP(-((E21-I21)*(90/H21)))),0))</f>
        <v/>
      </c>
      <c r="L21" s="19">
        <f>IF(E21&lt;=I21,"Need More",IF(ISNUMBER(J21),(J21*H21)/(E21-I21),0))</f>
        <v/>
      </c>
      <c r="M21" s="18">
        <f>IF(E21&gt;0,I21/E21,0)</f>
        <v/>
      </c>
      <c r="N21" s="20">
        <f>E21-F21</f>
        <v/>
      </c>
    </row>
    <row r="22">
      <c r="A22" t="inlineStr">
        <is>
          <t>Monday</t>
        </is>
      </c>
      <c r="B22" t="inlineStr">
        <is>
          <t>1/6/25</t>
        </is>
      </c>
      <c r="C22" t="inlineStr">
        <is>
          <t>11:30-11:45</t>
        </is>
      </c>
      <c r="D22" s="13" t="n">
        <v>10</v>
      </c>
      <c r="E22" s="14">
        <f>ROUND(D22*(1-$E$4),1)</f>
        <v/>
      </c>
      <c r="F22" s="15" t="n">
        <v>10</v>
      </c>
      <c r="G22" s="15" t="n">
        <v>18</v>
      </c>
      <c r="H22" s="15" t="n">
        <v>264</v>
      </c>
      <c r="I22" s="16">
        <f>(G22*H22)/900</f>
        <v/>
      </c>
      <c r="J22" s="17">
        <f>IF(E22&lt;=I22,"Need More",
(POWER(E22,I22)/FACT(E22)*(E22/(E22-I22)))/
(SUMPRODUCT(POWER(I22,ROW(INDIRECT("0:"&amp;(E22-1))))/
FACT(ROW(INDIRECT("0:"&amp;(E22-1)))))+
(POWER(E22,I22)/FACT(E22)*(E22/(E22-I22)))))</f>
        <v/>
      </c>
      <c r="K22" s="18">
        <f>IF(E22&lt;=I22,0,
IF(ISNUMBER(J22),1-(J22*EXP(-((E22-I22)*(90/H22)))),0))</f>
        <v/>
      </c>
      <c r="L22" s="19">
        <f>IF(E22&lt;=I22,"Need More",IF(ISNUMBER(J22),(J22*H22)/(E22-I22),0))</f>
        <v/>
      </c>
      <c r="M22" s="18">
        <f>IF(E22&gt;0,I22/E22,0)</f>
        <v/>
      </c>
      <c r="N22" s="20">
        <f>E22-F22</f>
        <v/>
      </c>
    </row>
    <row r="23">
      <c r="A23" t="inlineStr">
        <is>
          <t>Monday</t>
        </is>
      </c>
      <c r="B23" t="inlineStr">
        <is>
          <t>1/6/25</t>
        </is>
      </c>
      <c r="C23" t="inlineStr">
        <is>
          <t>11:45-12:00</t>
        </is>
      </c>
      <c r="D23" s="13" t="n">
        <v>9</v>
      </c>
      <c r="E23" s="14">
        <f>ROUND(D23*(1-$E$4),1)</f>
        <v/>
      </c>
      <c r="F23" s="15" t="n">
        <v>9</v>
      </c>
      <c r="G23" s="15" t="n">
        <v>15</v>
      </c>
      <c r="H23" s="15" t="n">
        <v>270</v>
      </c>
      <c r="I23" s="16">
        <f>(G23*H23)/900</f>
        <v/>
      </c>
      <c r="J23" s="17">
        <f>IF(E23&lt;=I23,"Need More",
(POWER(E23,I23)/FACT(E23)*(E23/(E23-I23)))/
(SUMPRODUCT(POWER(I23,ROW(INDIRECT("0:"&amp;(E23-1))))/
FACT(ROW(INDIRECT("0:"&amp;(E23-1)))))+
(POWER(E23,I23)/FACT(E23)*(E23/(E23-I23)))))</f>
        <v/>
      </c>
      <c r="K23" s="18">
        <f>IF(E23&lt;=I23,0,
IF(ISNUMBER(J23),1-(J23*EXP(-((E23-I23)*(90/H23)))),0))</f>
        <v/>
      </c>
      <c r="L23" s="19">
        <f>IF(E23&lt;=I23,"Need More",IF(ISNUMBER(J23),(J23*H23)/(E23-I23),0))</f>
        <v/>
      </c>
      <c r="M23" s="18">
        <f>IF(E23&gt;0,I23/E23,0)</f>
        <v/>
      </c>
      <c r="N23" s="20">
        <f>E23-F23</f>
        <v/>
      </c>
    </row>
    <row r="24">
      <c r="A24" t="inlineStr">
        <is>
          <t>Monday</t>
        </is>
      </c>
      <c r="B24" t="inlineStr">
        <is>
          <t>1/6/25</t>
        </is>
      </c>
      <c r="C24" t="inlineStr">
        <is>
          <t>12:00-12:15</t>
        </is>
      </c>
      <c r="D24" s="13" t="n">
        <v>11</v>
      </c>
      <c r="E24" s="14">
        <f>ROUND(D24*(1-$E$4),1)</f>
        <v/>
      </c>
      <c r="F24" s="15" t="n">
        <v>11</v>
      </c>
      <c r="G24" s="15" t="n">
        <v>22</v>
      </c>
      <c r="H24" s="15" t="n">
        <v>258</v>
      </c>
      <c r="I24" s="16">
        <f>(G24*H24)/900</f>
        <v/>
      </c>
      <c r="J24" s="17">
        <f>IF(E24&lt;=I24,"Need More",
(POWER(E24,I24)/FACT(E24)*(E24/(E24-I24)))/
(SUMPRODUCT(POWER(I24,ROW(INDIRECT("0:"&amp;(E24-1))))/
FACT(ROW(INDIRECT("0:"&amp;(E24-1)))))+
(POWER(E24,I24)/FACT(E24)*(E24/(E24-I24)))))</f>
        <v/>
      </c>
      <c r="K24" s="18">
        <f>IF(E24&lt;=I24,0,
IF(ISNUMBER(J24),1-(J24*EXP(-((E24-I24)*(90/H24)))),0))</f>
        <v/>
      </c>
      <c r="L24" s="19">
        <f>IF(E24&lt;=I24,"Need More",IF(ISNUMBER(J24),(J24*H24)/(E24-I24),0))</f>
        <v/>
      </c>
      <c r="M24" s="18">
        <f>IF(E24&gt;0,I24/E24,0)</f>
        <v/>
      </c>
      <c r="N24" s="20">
        <f>E24-F24</f>
        <v/>
      </c>
    </row>
    <row r="25">
      <c r="A25" t="inlineStr">
        <is>
          <t>Monday</t>
        </is>
      </c>
      <c r="B25" t="inlineStr">
        <is>
          <t>1/6/25</t>
        </is>
      </c>
      <c r="C25" t="inlineStr">
        <is>
          <t>12:15-12:30</t>
        </is>
      </c>
      <c r="D25" s="13" t="n">
        <v>9</v>
      </c>
      <c r="E25" s="14">
        <f>ROUND(D25*(1-$E$4),1)</f>
        <v/>
      </c>
      <c r="F25" s="15" t="n">
        <v>9</v>
      </c>
      <c r="G25" s="15" t="n">
        <v>15</v>
      </c>
      <c r="H25" s="15" t="n">
        <v>264</v>
      </c>
      <c r="I25" s="16">
        <f>(G25*H25)/900</f>
        <v/>
      </c>
      <c r="J25" s="17">
        <f>IF(E25&lt;=I25,"Need More",
(POWER(E25,I25)/FACT(E25)*(E25/(E25-I25)))/
(SUMPRODUCT(POWER(I25,ROW(INDIRECT("0:"&amp;(E25-1))))/
FACT(ROW(INDIRECT("0:"&amp;(E25-1)))))+
(POWER(E25,I25)/FACT(E25)*(E25/(E25-I25)))))</f>
        <v/>
      </c>
      <c r="K25" s="18">
        <f>IF(E25&lt;=I25,0,
IF(ISNUMBER(J25),1-(J25*EXP(-((E25-I25)*(90/H25)))),0))</f>
        <v/>
      </c>
      <c r="L25" s="19">
        <f>IF(E25&lt;=I25,"Need More",IF(ISNUMBER(J25),(J25*H25)/(E25-I25),0))</f>
        <v/>
      </c>
      <c r="M25" s="18">
        <f>IF(E25&gt;0,I25/E25,0)</f>
        <v/>
      </c>
      <c r="N25" s="20">
        <f>E25-F25</f>
        <v/>
      </c>
    </row>
    <row r="26">
      <c r="A26" t="inlineStr">
        <is>
          <t>Monday</t>
        </is>
      </c>
      <c r="B26" t="inlineStr">
        <is>
          <t>1/6/25</t>
        </is>
      </c>
      <c r="C26" t="inlineStr">
        <is>
          <t>12:30-12:45</t>
        </is>
      </c>
      <c r="D26" s="13" t="n">
        <v>8</v>
      </c>
      <c r="E26" s="14">
        <f>ROUND(D26*(1-$E$4),1)</f>
        <v/>
      </c>
      <c r="F26" s="15" t="n">
        <v>8</v>
      </c>
      <c r="G26" s="15" t="n">
        <v>12</v>
      </c>
      <c r="H26" s="15" t="n">
        <v>270</v>
      </c>
      <c r="I26" s="16">
        <f>(G26*H26)/900</f>
        <v/>
      </c>
      <c r="J26" s="17">
        <f>IF(E26&lt;=I26,"Need More",
(POWER(E26,I26)/FACT(E26)*(E26/(E26-I26)))/
(SUMPRODUCT(POWER(I26,ROW(INDIRECT("0:"&amp;(E26-1))))/
FACT(ROW(INDIRECT("0:"&amp;(E26-1)))))+
(POWER(E26,I26)/FACT(E26)*(E26/(E26-I26)))))</f>
        <v/>
      </c>
      <c r="K26" s="18">
        <f>IF(E26&lt;=I26,0,
IF(ISNUMBER(J26),1-(J26*EXP(-((E26-I26)*(90/H26)))),0))</f>
        <v/>
      </c>
      <c r="L26" s="19">
        <f>IF(E26&lt;=I26,"Need More",IF(ISNUMBER(J26),(J26*H26)/(E26-I26),0))</f>
        <v/>
      </c>
      <c r="M26" s="18">
        <f>IF(E26&gt;0,I26/E26,0)</f>
        <v/>
      </c>
      <c r="N26" s="20">
        <f>E26-F26</f>
        <v/>
      </c>
    </row>
    <row r="27">
      <c r="A27" t="inlineStr">
        <is>
          <t>Monday</t>
        </is>
      </c>
      <c r="B27" t="inlineStr">
        <is>
          <t>1/6/25</t>
        </is>
      </c>
      <c r="C27" t="inlineStr">
        <is>
          <t>12:45-13:00</t>
        </is>
      </c>
      <c r="D27" s="13" t="n">
        <v>7</v>
      </c>
      <c r="E27" s="14">
        <f>ROUND(D27*(1-$E$4),1)</f>
        <v/>
      </c>
      <c r="F27" s="15" t="n">
        <v>7</v>
      </c>
      <c r="G27" s="15" t="n">
        <v>10</v>
      </c>
      <c r="H27" s="15" t="n">
        <v>264</v>
      </c>
      <c r="I27" s="16">
        <f>(G27*H27)/900</f>
        <v/>
      </c>
      <c r="J27" s="17">
        <f>IF(E27&lt;=I27,"Need More",
(POWER(E27,I27)/FACT(E27)*(E27/(E27-I27)))/
(SUMPRODUCT(POWER(I27,ROW(INDIRECT("0:"&amp;(E27-1))))/
FACT(ROW(INDIRECT("0:"&amp;(E27-1)))))+
(POWER(E27,I27)/FACT(E27)*(E27/(E27-I27)))))</f>
        <v/>
      </c>
      <c r="K27" s="18">
        <f>IF(E27&lt;=I27,0,
IF(ISNUMBER(J27),1-(J27*EXP(-((E27-I27)*(90/H27)))),0))</f>
        <v/>
      </c>
      <c r="L27" s="19">
        <f>IF(E27&lt;=I27,"Need More",IF(ISNUMBER(J27),(J27*H27)/(E27-I27),0))</f>
        <v/>
      </c>
      <c r="M27" s="18">
        <f>IF(E27&gt;0,I27/E27,0)</f>
        <v/>
      </c>
      <c r="N27" s="20">
        <f>E27-F27</f>
        <v/>
      </c>
    </row>
    <row r="28">
      <c r="A28" t="inlineStr">
        <is>
          <t>Monday</t>
        </is>
      </c>
      <c r="B28" t="inlineStr">
        <is>
          <t>1/6/25</t>
        </is>
      </c>
      <c r="C28" t="inlineStr">
        <is>
          <t>13:00-13:15</t>
        </is>
      </c>
      <c r="D28" s="13" t="n">
        <v>13</v>
      </c>
      <c r="E28" s="14">
        <f>ROUND(D28*(1-$E$4),1)</f>
        <v/>
      </c>
      <c r="F28" s="15" t="n">
        <v>13</v>
      </c>
      <c r="G28" s="15" t="n">
        <v>26</v>
      </c>
      <c r="H28" s="15" t="n">
        <v>276</v>
      </c>
      <c r="I28" s="16">
        <f>(G28*H28)/900</f>
        <v/>
      </c>
      <c r="J28" s="17">
        <f>IF(E28&lt;=I28,"Need More",
(POWER(E28,I28)/FACT(E28)*(E28/(E28-I28)))/
(SUMPRODUCT(POWER(I28,ROW(INDIRECT("0:"&amp;(E28-1))))/
FACT(ROW(INDIRECT("0:"&amp;(E28-1)))))+
(POWER(E28,I28)/FACT(E28)*(E28/(E28-I28)))))</f>
        <v/>
      </c>
      <c r="K28" s="18">
        <f>IF(E28&lt;=I28,0,
IF(ISNUMBER(J28),1-(J28*EXP(-((E28-I28)*(90/H28)))),0))</f>
        <v/>
      </c>
      <c r="L28" s="19">
        <f>IF(E28&lt;=I28,"Need More",IF(ISNUMBER(J28),(J28*H28)/(E28-I28),0))</f>
        <v/>
      </c>
      <c r="M28" s="18">
        <f>IF(E28&gt;0,I28/E28,0)</f>
        <v/>
      </c>
      <c r="N28" s="20">
        <f>E28-F28</f>
        <v/>
      </c>
    </row>
    <row r="29">
      <c r="A29" t="inlineStr">
        <is>
          <t>Monday</t>
        </is>
      </c>
      <c r="B29" t="inlineStr">
        <is>
          <t>1/6/25</t>
        </is>
      </c>
      <c r="C29" t="inlineStr">
        <is>
          <t>13:15-13:30</t>
        </is>
      </c>
      <c r="D29" s="13" t="n">
        <v>10</v>
      </c>
      <c r="E29" s="14">
        <f>ROUND(D29*(1-$E$4),1)</f>
        <v/>
      </c>
      <c r="F29" s="15" t="n">
        <v>10</v>
      </c>
      <c r="G29" s="15" t="n">
        <v>18</v>
      </c>
      <c r="H29" s="15" t="n">
        <v>270</v>
      </c>
      <c r="I29" s="16">
        <f>(G29*H29)/900</f>
        <v/>
      </c>
      <c r="J29" s="17">
        <f>IF(E29&lt;=I29,"Need More",
(POWER(E29,I29)/FACT(E29)*(E29/(E29-I29)))/
(SUMPRODUCT(POWER(I29,ROW(INDIRECT("0:"&amp;(E29-1))))/
FACT(ROW(INDIRECT("0:"&amp;(E29-1)))))+
(POWER(E29,I29)/FACT(E29)*(E29/(E29-I29)))))</f>
        <v/>
      </c>
      <c r="K29" s="18">
        <f>IF(E29&lt;=I29,0,
IF(ISNUMBER(J29),1-(J29*EXP(-((E29-I29)*(90/H29)))),0))</f>
        <v/>
      </c>
      <c r="L29" s="19">
        <f>IF(E29&lt;=I29,"Need More",IF(ISNUMBER(J29),(J29*H29)/(E29-I29),0))</f>
        <v/>
      </c>
      <c r="M29" s="18">
        <f>IF(E29&gt;0,I29/E29,0)</f>
        <v/>
      </c>
      <c r="N29" s="20">
        <f>E29-F29</f>
        <v/>
      </c>
    </row>
    <row r="30">
      <c r="A30" t="inlineStr">
        <is>
          <t>Monday</t>
        </is>
      </c>
      <c r="B30" t="inlineStr">
        <is>
          <t>1/6/25</t>
        </is>
      </c>
      <c r="C30" t="inlineStr">
        <is>
          <t>13:30-13:45</t>
        </is>
      </c>
      <c r="D30" s="13" t="n">
        <v>9</v>
      </c>
      <c r="E30" s="14">
        <f>ROUND(D30*(1-$E$4),1)</f>
        <v/>
      </c>
      <c r="F30" s="15" t="n">
        <v>9</v>
      </c>
      <c r="G30" s="15" t="n">
        <v>15</v>
      </c>
      <c r="H30" s="15" t="n">
        <v>264</v>
      </c>
      <c r="I30" s="16">
        <f>(G30*H30)/900</f>
        <v/>
      </c>
      <c r="J30" s="17">
        <f>IF(E30&lt;=I30,"Need More",
(POWER(E30,I30)/FACT(E30)*(E30/(E30-I30)))/
(SUMPRODUCT(POWER(I30,ROW(INDIRECT("0:"&amp;(E30-1))))/
FACT(ROW(INDIRECT("0:"&amp;(E30-1)))))+
(POWER(E30,I30)/FACT(E30)*(E30/(E30-I30)))))</f>
        <v/>
      </c>
      <c r="K30" s="18">
        <f>IF(E30&lt;=I30,0,
IF(ISNUMBER(J30),1-(J30*EXP(-((E30-I30)*(90/H30)))),0))</f>
        <v/>
      </c>
      <c r="L30" s="19">
        <f>IF(E30&lt;=I30,"Need More",IF(ISNUMBER(J30),(J30*H30)/(E30-I30),0))</f>
        <v/>
      </c>
      <c r="M30" s="18">
        <f>IF(E30&gt;0,I30/E30,0)</f>
        <v/>
      </c>
      <c r="N30" s="20">
        <f>E30-F30</f>
        <v/>
      </c>
    </row>
    <row r="31">
      <c r="A31" t="inlineStr">
        <is>
          <t>Monday</t>
        </is>
      </c>
      <c r="B31" t="inlineStr">
        <is>
          <t>1/6/25</t>
        </is>
      </c>
      <c r="C31" t="inlineStr">
        <is>
          <t>13:45-14:00</t>
        </is>
      </c>
      <c r="D31" s="13" t="n">
        <v>8</v>
      </c>
      <c r="E31" s="14">
        <f>ROUND(D31*(1-$E$4),1)</f>
        <v/>
      </c>
      <c r="F31" s="15" t="n">
        <v>8</v>
      </c>
      <c r="G31" s="15" t="n">
        <v>12</v>
      </c>
      <c r="H31" s="15" t="n">
        <v>270</v>
      </c>
      <c r="I31" s="16">
        <f>(G31*H31)/900</f>
        <v/>
      </c>
      <c r="J31" s="17">
        <f>IF(E31&lt;=I31,"Need More",
(POWER(E31,I31)/FACT(E31)*(E31/(E31-I31)))/
(SUMPRODUCT(POWER(I31,ROW(INDIRECT("0:"&amp;(E31-1))))/
FACT(ROW(INDIRECT("0:"&amp;(E31-1)))))+
(POWER(E31,I31)/FACT(E31)*(E31/(E31-I31)))))</f>
        <v/>
      </c>
      <c r="K31" s="18">
        <f>IF(E31&lt;=I31,0,
IF(ISNUMBER(J31),1-(J31*EXP(-((E31-I31)*(90/H31)))),0))</f>
        <v/>
      </c>
      <c r="L31" s="19">
        <f>IF(E31&lt;=I31,"Need More",IF(ISNUMBER(J31),(J31*H31)/(E31-I31),0))</f>
        <v/>
      </c>
      <c r="M31" s="18">
        <f>IF(E31&gt;0,I31/E31,0)</f>
        <v/>
      </c>
      <c r="N31" s="20">
        <f>E31-F31</f>
        <v/>
      </c>
    </row>
    <row r="32">
      <c r="A32" t="inlineStr">
        <is>
          <t>Monday</t>
        </is>
      </c>
      <c r="B32" t="inlineStr">
        <is>
          <t>1/6/25</t>
        </is>
      </c>
      <c r="C32" t="inlineStr">
        <is>
          <t>14:00-14:15</t>
        </is>
      </c>
      <c r="D32" s="13" t="n">
        <v>15</v>
      </c>
      <c r="E32" s="14">
        <f>ROUND(D32*(1-$E$4),1)</f>
        <v/>
      </c>
      <c r="F32" s="15" t="n">
        <v>15</v>
      </c>
      <c r="G32" s="15" t="n">
        <v>30</v>
      </c>
      <c r="H32" s="15" t="n">
        <v>282</v>
      </c>
      <c r="I32" s="16">
        <f>(G32*H32)/900</f>
        <v/>
      </c>
      <c r="J32" s="17">
        <f>IF(E32&lt;=I32,"Need More",
(POWER(E32,I32)/FACT(E32)*(E32/(E32-I32)))/
(SUMPRODUCT(POWER(I32,ROW(INDIRECT("0:"&amp;(E32-1))))/
FACT(ROW(INDIRECT("0:"&amp;(E32-1)))))+
(POWER(E32,I32)/FACT(E32)*(E32/(E32-I32)))))</f>
        <v/>
      </c>
      <c r="K32" s="18">
        <f>IF(E32&lt;=I32,0,
IF(ISNUMBER(J32),1-(J32*EXP(-((E32-I32)*(90/H32)))),0))</f>
        <v/>
      </c>
      <c r="L32" s="19">
        <f>IF(E32&lt;=I32,"Need More",IF(ISNUMBER(J32),(J32*H32)/(E32-I32),0))</f>
        <v/>
      </c>
      <c r="M32" s="18">
        <f>IF(E32&gt;0,I32/E32,0)</f>
        <v/>
      </c>
      <c r="N32" s="20">
        <f>E32-F32</f>
        <v/>
      </c>
    </row>
    <row r="33">
      <c r="A33" t="inlineStr">
        <is>
          <t>Monday</t>
        </is>
      </c>
      <c r="B33" t="inlineStr">
        <is>
          <t>1/6/25</t>
        </is>
      </c>
      <c r="C33" t="inlineStr">
        <is>
          <t>14:15-14:30</t>
        </is>
      </c>
      <c r="D33" s="13" t="n">
        <v>11</v>
      </c>
      <c r="E33" s="14">
        <f>ROUND(D33*(1-$E$4),1)</f>
        <v/>
      </c>
      <c r="F33" s="15" t="n">
        <v>11</v>
      </c>
      <c r="G33" s="15" t="n">
        <v>21</v>
      </c>
      <c r="H33" s="15" t="n">
        <v>276</v>
      </c>
      <c r="I33" s="16">
        <f>(G33*H33)/900</f>
        <v/>
      </c>
      <c r="J33" s="17">
        <f>IF(E33&lt;=I33,"Need More",
(POWER(E33,I33)/FACT(E33)*(E33/(E33-I33)))/
(SUMPRODUCT(POWER(I33,ROW(INDIRECT("0:"&amp;(E33-1))))/
FACT(ROW(INDIRECT("0:"&amp;(E33-1)))))+
(POWER(E33,I33)/FACT(E33)*(E33/(E33-I33)))))</f>
        <v/>
      </c>
      <c r="K33" s="18">
        <f>IF(E33&lt;=I33,0,
IF(ISNUMBER(J33),1-(J33*EXP(-((E33-I33)*(90/H33)))),0))</f>
        <v/>
      </c>
      <c r="L33" s="19">
        <f>IF(E33&lt;=I33,"Need More",IF(ISNUMBER(J33),(J33*H33)/(E33-I33),0))</f>
        <v/>
      </c>
      <c r="M33" s="18">
        <f>IF(E33&gt;0,I33/E33,0)</f>
        <v/>
      </c>
      <c r="N33" s="20">
        <f>E33-F33</f>
        <v/>
      </c>
    </row>
    <row r="34">
      <c r="A34" t="inlineStr">
        <is>
          <t>Monday</t>
        </is>
      </c>
      <c r="B34" t="inlineStr">
        <is>
          <t>1/6/25</t>
        </is>
      </c>
      <c r="C34" t="inlineStr">
        <is>
          <t>14:30-14:45</t>
        </is>
      </c>
      <c r="D34" s="13" t="n">
        <v>9</v>
      </c>
      <c r="E34" s="14">
        <f>ROUND(D34*(1-$E$4),1)</f>
        <v/>
      </c>
      <c r="F34" s="15" t="n">
        <v>9</v>
      </c>
      <c r="G34" s="15" t="n">
        <v>17</v>
      </c>
      <c r="H34" s="15" t="n">
        <v>264</v>
      </c>
      <c r="I34" s="16">
        <f>(G34*H34)/900</f>
        <v/>
      </c>
      <c r="J34" s="17">
        <f>IF(E34&lt;=I34,"Need More",
(POWER(E34,I34)/FACT(E34)*(E34/(E34-I34)))/
(SUMPRODUCT(POWER(I34,ROW(INDIRECT("0:"&amp;(E34-1))))/
FACT(ROW(INDIRECT("0:"&amp;(E34-1)))))+
(POWER(E34,I34)/FACT(E34)*(E34/(E34-I34)))))</f>
        <v/>
      </c>
      <c r="K34" s="18">
        <f>IF(E34&lt;=I34,0,
IF(ISNUMBER(J34),1-(J34*EXP(-((E34-I34)*(90/H34)))),0))</f>
        <v/>
      </c>
      <c r="L34" s="19">
        <f>IF(E34&lt;=I34,"Need More",IF(ISNUMBER(J34),(J34*H34)/(E34-I34),0))</f>
        <v/>
      </c>
      <c r="M34" s="18">
        <f>IF(E34&gt;0,I34/E34,0)</f>
        <v/>
      </c>
      <c r="N34" s="20">
        <f>E34-F34</f>
        <v/>
      </c>
    </row>
    <row r="35">
      <c r="A35" t="inlineStr">
        <is>
          <t>Monday</t>
        </is>
      </c>
      <c r="B35" t="inlineStr">
        <is>
          <t>1/6/25</t>
        </is>
      </c>
      <c r="C35" t="inlineStr">
        <is>
          <t>14:45-15:00</t>
        </is>
      </c>
      <c r="D35" s="13" t="n">
        <v>8</v>
      </c>
      <c r="E35" s="14">
        <f>ROUND(D35*(1-$E$4),1)</f>
        <v/>
      </c>
      <c r="F35" s="15" t="n">
        <v>8</v>
      </c>
      <c r="G35" s="15" t="n">
        <v>14</v>
      </c>
      <c r="H35" s="15" t="n">
        <v>270</v>
      </c>
      <c r="I35" s="16">
        <f>(G35*H35)/900</f>
        <v/>
      </c>
      <c r="J35" s="17">
        <f>IF(E35&lt;=I35,"Need More",
(POWER(E35,I35)/FACT(E35)*(E35/(E35-I35)))/
(SUMPRODUCT(POWER(I35,ROW(INDIRECT("0:"&amp;(E35-1))))/
FACT(ROW(INDIRECT("0:"&amp;(E35-1)))))+
(POWER(E35,I35)/FACT(E35)*(E35/(E35-I35)))))</f>
        <v/>
      </c>
      <c r="K35" s="18">
        <f>IF(E35&lt;=I35,0,
IF(ISNUMBER(J35),1-(J35*EXP(-((E35-I35)*(90/H35)))),0))</f>
        <v/>
      </c>
      <c r="L35" s="19">
        <f>IF(E35&lt;=I35,"Need More",IF(ISNUMBER(J35),(J35*H35)/(E35-I35),0))</f>
        <v/>
      </c>
      <c r="M35" s="18">
        <f>IF(E35&gt;0,I35/E35,0)</f>
        <v/>
      </c>
      <c r="N35" s="20">
        <f>E35-F35</f>
        <v/>
      </c>
    </row>
    <row r="36">
      <c r="A36" t="inlineStr">
        <is>
          <t>Monday</t>
        </is>
      </c>
      <c r="B36" t="inlineStr">
        <is>
          <t>1/6/25</t>
        </is>
      </c>
      <c r="C36" t="inlineStr">
        <is>
          <t>15:00-15:15</t>
        </is>
      </c>
      <c r="D36" s="13" t="n">
        <v>12</v>
      </c>
      <c r="E36" s="14">
        <f>ROUND(D36*(1-$E$4),1)</f>
        <v/>
      </c>
      <c r="F36" s="15" t="n">
        <v>12</v>
      </c>
      <c r="G36" s="15" t="n">
        <v>24</v>
      </c>
      <c r="H36" s="15" t="n">
        <v>270</v>
      </c>
      <c r="I36" s="16">
        <f>(G36*H36)/900</f>
        <v/>
      </c>
      <c r="J36" s="17">
        <f>IF(E36&lt;=I36,"Need More",
(POWER(E36,I36)/FACT(E36)*(E36/(E36-I36)))/
(SUMPRODUCT(POWER(I36,ROW(INDIRECT("0:"&amp;(E36-1))))/
FACT(ROW(INDIRECT("0:"&amp;(E36-1)))))+
(POWER(E36,I36)/FACT(E36)*(E36/(E36-I36)))))</f>
        <v/>
      </c>
      <c r="K36" s="18">
        <f>IF(E36&lt;=I36,0,
IF(ISNUMBER(J36),1-(J36*EXP(-((E36-I36)*(90/H36)))),0))</f>
        <v/>
      </c>
      <c r="L36" s="19">
        <f>IF(E36&lt;=I36,"Need More",IF(ISNUMBER(J36),(J36*H36)/(E36-I36),0))</f>
        <v/>
      </c>
      <c r="M36" s="18">
        <f>IF(E36&gt;0,I36/E36,0)</f>
        <v/>
      </c>
      <c r="N36" s="20">
        <f>E36-F36</f>
        <v/>
      </c>
    </row>
    <row r="37">
      <c r="A37" t="inlineStr">
        <is>
          <t>Monday</t>
        </is>
      </c>
      <c r="B37" t="inlineStr">
        <is>
          <t>1/6/25</t>
        </is>
      </c>
      <c r="C37" t="inlineStr">
        <is>
          <t>15:15-15:30</t>
        </is>
      </c>
      <c r="D37" s="13" t="n">
        <v>9</v>
      </c>
      <c r="E37" s="14">
        <f>ROUND(D37*(1-$E$4),1)</f>
        <v/>
      </c>
      <c r="F37" s="15" t="n">
        <v>9</v>
      </c>
      <c r="G37" s="15" t="n">
        <v>17</v>
      </c>
      <c r="H37" s="15" t="n">
        <v>264</v>
      </c>
      <c r="I37" s="16">
        <f>(G37*H37)/900</f>
        <v/>
      </c>
      <c r="J37" s="17">
        <f>IF(E37&lt;=I37,"Need More",
(POWER(E37,I37)/FACT(E37)*(E37/(E37-I37)))/
(SUMPRODUCT(POWER(I37,ROW(INDIRECT("0:"&amp;(E37-1))))/
FACT(ROW(INDIRECT("0:"&amp;(E37-1)))))+
(POWER(E37,I37)/FACT(E37)*(E37/(E37-I37)))))</f>
        <v/>
      </c>
      <c r="K37" s="18">
        <f>IF(E37&lt;=I37,0,
IF(ISNUMBER(J37),1-(J37*EXP(-((E37-I37)*(90/H37)))),0))</f>
        <v/>
      </c>
      <c r="L37" s="19">
        <f>IF(E37&lt;=I37,"Need More",IF(ISNUMBER(J37),(J37*H37)/(E37-I37),0))</f>
        <v/>
      </c>
      <c r="M37" s="18">
        <f>IF(E37&gt;0,I37/E37,0)</f>
        <v/>
      </c>
      <c r="N37" s="20">
        <f>E37-F37</f>
        <v/>
      </c>
    </row>
    <row r="38">
      <c r="A38" t="inlineStr">
        <is>
          <t>Monday</t>
        </is>
      </c>
      <c r="B38" t="inlineStr">
        <is>
          <t>1/6/25</t>
        </is>
      </c>
      <c r="C38" t="inlineStr">
        <is>
          <t>15:30-15:45</t>
        </is>
      </c>
      <c r="D38" s="13" t="n">
        <v>8</v>
      </c>
      <c r="E38" s="14">
        <f>ROUND(D38*(1-$E$4),1)</f>
        <v/>
      </c>
      <c r="F38" s="15" t="n">
        <v>8</v>
      </c>
      <c r="G38" s="15" t="n">
        <v>14</v>
      </c>
      <c r="H38" s="15" t="n">
        <v>270</v>
      </c>
      <c r="I38" s="16">
        <f>(G38*H38)/900</f>
        <v/>
      </c>
      <c r="J38" s="17">
        <f>IF(E38&lt;=I38,"Need More",
(POWER(E38,I38)/FACT(E38)*(E38/(E38-I38)))/
(SUMPRODUCT(POWER(I38,ROW(INDIRECT("0:"&amp;(E38-1))))/
FACT(ROW(INDIRECT("0:"&amp;(E38-1)))))+
(POWER(E38,I38)/FACT(E38)*(E38/(E38-I38)))))</f>
        <v/>
      </c>
      <c r="K38" s="18">
        <f>IF(E38&lt;=I38,0,
IF(ISNUMBER(J38),1-(J38*EXP(-((E38-I38)*(90/H38)))),0))</f>
        <v/>
      </c>
      <c r="L38" s="19">
        <f>IF(E38&lt;=I38,"Need More",IF(ISNUMBER(J38),(J38*H38)/(E38-I38),0))</f>
        <v/>
      </c>
      <c r="M38" s="18">
        <f>IF(E38&gt;0,I38/E38,0)</f>
        <v/>
      </c>
      <c r="N38" s="20">
        <f>E38-F38</f>
        <v/>
      </c>
    </row>
    <row r="39">
      <c r="A39" t="inlineStr">
        <is>
          <t>Monday</t>
        </is>
      </c>
      <c r="B39" t="inlineStr">
        <is>
          <t>1/6/25</t>
        </is>
      </c>
      <c r="C39" t="inlineStr">
        <is>
          <t>15:45-16:00</t>
        </is>
      </c>
      <c r="D39" s="13" t="n">
        <v>7</v>
      </c>
      <c r="E39" s="14">
        <f>ROUND(D39*(1-$E$4),1)</f>
        <v/>
      </c>
      <c r="F39" s="15" t="n">
        <v>7</v>
      </c>
      <c r="G39" s="15" t="n">
        <v>11</v>
      </c>
      <c r="H39" s="15" t="n">
        <v>264</v>
      </c>
      <c r="I39" s="16">
        <f>(G39*H39)/900</f>
        <v/>
      </c>
      <c r="J39" s="17">
        <f>IF(E39&lt;=I39,"Need More",
(POWER(E39,I39)/FACT(E39)*(E39/(E39-I39)))/
(SUMPRODUCT(POWER(I39,ROW(INDIRECT("0:"&amp;(E39-1))))/
FACT(ROW(INDIRECT("0:"&amp;(E39-1)))))+
(POWER(E39,I39)/FACT(E39)*(E39/(E39-I39)))))</f>
        <v/>
      </c>
      <c r="K39" s="18">
        <f>IF(E39&lt;=I39,0,
IF(ISNUMBER(J39),1-(J39*EXP(-((E39-I39)*(90/H39)))),0))</f>
        <v/>
      </c>
      <c r="L39" s="19">
        <f>IF(E39&lt;=I39,"Need More",IF(ISNUMBER(J39),(J39*H39)/(E39-I39),0))</f>
        <v/>
      </c>
      <c r="M39" s="18">
        <f>IF(E39&gt;0,I39/E39,0)</f>
        <v/>
      </c>
      <c r="N39" s="20">
        <f>E39-F39</f>
        <v/>
      </c>
    </row>
    <row r="40">
      <c r="A40" t="inlineStr">
        <is>
          <t>Monday</t>
        </is>
      </c>
      <c r="B40" t="inlineStr">
        <is>
          <t>1/6/25</t>
        </is>
      </c>
      <c r="C40" t="inlineStr">
        <is>
          <t>16:00-16:15</t>
        </is>
      </c>
      <c r="D40" s="13" t="n">
        <v>11</v>
      </c>
      <c r="E40" s="14">
        <f>ROUND(D40*(1-$E$4),1)</f>
        <v/>
      </c>
      <c r="F40" s="15" t="n">
        <v>11</v>
      </c>
      <c r="G40" s="15" t="n">
        <v>20</v>
      </c>
      <c r="H40" s="15" t="n">
        <v>276</v>
      </c>
      <c r="I40" s="16">
        <f>(G40*H40)/900</f>
        <v/>
      </c>
      <c r="J40" s="17">
        <f>IF(E40&lt;=I40,"Need More",
(POWER(E40,I40)/FACT(E40)*(E40/(E40-I40)))/
(SUMPRODUCT(POWER(I40,ROW(INDIRECT("0:"&amp;(E40-1))))/
FACT(ROW(INDIRECT("0:"&amp;(E40-1)))))+
(POWER(E40,I40)/FACT(E40)*(E40/(E40-I40)))))</f>
        <v/>
      </c>
      <c r="K40" s="18">
        <f>IF(E40&lt;=I40,0,
IF(ISNUMBER(J40),1-(J40*EXP(-((E40-I40)*(90/H40)))),0))</f>
        <v/>
      </c>
      <c r="L40" s="19">
        <f>IF(E40&lt;=I40,"Need More",IF(ISNUMBER(J40),(J40*H40)/(E40-I40),0))</f>
        <v/>
      </c>
      <c r="M40" s="18">
        <f>IF(E40&gt;0,I40/E40,0)</f>
        <v/>
      </c>
      <c r="N40" s="20">
        <f>E40-F40</f>
        <v/>
      </c>
    </row>
    <row r="41">
      <c r="A41" t="inlineStr">
        <is>
          <t>Monday</t>
        </is>
      </c>
      <c r="B41" t="inlineStr">
        <is>
          <t>1/6/25</t>
        </is>
      </c>
      <c r="C41" t="inlineStr">
        <is>
          <t>16:15-16:30</t>
        </is>
      </c>
      <c r="D41" s="13" t="n">
        <v>8</v>
      </c>
      <c r="E41" s="14">
        <f>ROUND(D41*(1-$E$4),1)</f>
        <v/>
      </c>
      <c r="F41" s="15" t="n">
        <v>8</v>
      </c>
      <c r="G41" s="15" t="n">
        <v>14</v>
      </c>
      <c r="H41" s="15" t="n">
        <v>270</v>
      </c>
      <c r="I41" s="16">
        <f>(G41*H41)/900</f>
        <v/>
      </c>
      <c r="J41" s="17">
        <f>IF(E41&lt;=I41,"Need More",
(POWER(E41,I41)/FACT(E41)*(E41/(E41-I41)))/
(SUMPRODUCT(POWER(I41,ROW(INDIRECT("0:"&amp;(E41-1))))/
FACT(ROW(INDIRECT("0:"&amp;(E41-1)))))+
(POWER(E41,I41)/FACT(E41)*(E41/(E41-I41)))))</f>
        <v/>
      </c>
      <c r="K41" s="18">
        <f>IF(E41&lt;=I41,0,
IF(ISNUMBER(J41),1-(J41*EXP(-((E41-I41)*(90/H41)))),0))</f>
        <v/>
      </c>
      <c r="L41" s="19">
        <f>IF(E41&lt;=I41,"Need More",IF(ISNUMBER(J41),(J41*H41)/(E41-I41),0))</f>
        <v/>
      </c>
      <c r="M41" s="18">
        <f>IF(E41&gt;0,I41/E41,0)</f>
        <v/>
      </c>
      <c r="N41" s="20">
        <f>E41-F41</f>
        <v/>
      </c>
    </row>
    <row r="42">
      <c r="A42" t="inlineStr">
        <is>
          <t>Monday</t>
        </is>
      </c>
      <c r="B42" t="inlineStr">
        <is>
          <t>1/6/25</t>
        </is>
      </c>
      <c r="C42" t="inlineStr">
        <is>
          <t>16:30-16:45</t>
        </is>
      </c>
      <c r="D42" s="13" t="n">
        <v>7</v>
      </c>
      <c r="E42" s="14">
        <f>ROUND(D42*(1-$E$4),1)</f>
        <v/>
      </c>
      <c r="F42" s="15" t="n">
        <v>7</v>
      </c>
      <c r="G42" s="15" t="n">
        <v>11</v>
      </c>
      <c r="H42" s="15" t="n">
        <v>264</v>
      </c>
      <c r="I42" s="16">
        <f>(G42*H42)/900</f>
        <v/>
      </c>
      <c r="J42" s="17">
        <f>IF(E42&lt;=I42,"Need More",
(POWER(E42,I42)/FACT(E42)*(E42/(E42-I42)))/
(SUMPRODUCT(POWER(I42,ROW(INDIRECT("0:"&amp;(E42-1))))/
FACT(ROW(INDIRECT("0:"&amp;(E42-1)))))+
(POWER(E42,I42)/FACT(E42)*(E42/(E42-I42)))))</f>
        <v/>
      </c>
      <c r="K42" s="18">
        <f>IF(E42&lt;=I42,0,
IF(ISNUMBER(J42),1-(J42*EXP(-((E42-I42)*(90/H42)))),0))</f>
        <v/>
      </c>
      <c r="L42" s="19">
        <f>IF(E42&lt;=I42,"Need More",IF(ISNUMBER(J42),(J42*H42)/(E42-I42),0))</f>
        <v/>
      </c>
      <c r="M42" s="18">
        <f>IF(E42&gt;0,I42/E42,0)</f>
        <v/>
      </c>
      <c r="N42" s="20">
        <f>E42-F42</f>
        <v/>
      </c>
    </row>
    <row r="43">
      <c r="A43" t="inlineStr">
        <is>
          <t>Monday</t>
        </is>
      </c>
      <c r="B43" t="inlineStr">
        <is>
          <t>1/6/25</t>
        </is>
      </c>
      <c r="C43" t="inlineStr">
        <is>
          <t>16:45-17:00</t>
        </is>
      </c>
      <c r="D43" s="13" t="n">
        <v>6</v>
      </c>
      <c r="E43" s="14">
        <f>ROUND(D43*(1-$E$4),1)</f>
        <v/>
      </c>
      <c r="F43" s="15" t="n">
        <v>6</v>
      </c>
      <c r="G43" s="15" t="n">
        <v>9</v>
      </c>
      <c r="H43" s="15" t="n">
        <v>270</v>
      </c>
      <c r="I43" s="16">
        <f>(G43*H43)/900</f>
        <v/>
      </c>
      <c r="J43" s="17">
        <f>IF(E43&lt;=I43,"Need More",
(POWER(E43,I43)/FACT(E43)*(E43/(E43-I43)))/
(SUMPRODUCT(POWER(I43,ROW(INDIRECT("0:"&amp;(E43-1))))/
FACT(ROW(INDIRECT("0:"&amp;(E43-1)))))+
(POWER(E43,I43)/FACT(E43)*(E43/(E43-I43)))))</f>
        <v/>
      </c>
      <c r="K43" s="18">
        <f>IF(E43&lt;=I43,0,
IF(ISNUMBER(J43),1-(J43*EXP(-((E43-I43)*(90/H43)))),0))</f>
        <v/>
      </c>
      <c r="L43" s="19">
        <f>IF(E43&lt;=I43,"Need More",IF(ISNUMBER(J43),(J43*H43)/(E43-I43),0))</f>
        <v/>
      </c>
      <c r="M43" s="18">
        <f>IF(E43&gt;0,I43/E43,0)</f>
        <v/>
      </c>
      <c r="N43" s="20">
        <f>E43-F43</f>
        <v/>
      </c>
    </row>
    <row r="46">
      <c r="A46" s="11" t="inlineStr">
        <is>
          <t>SUMMARY DASHBOARD</t>
        </is>
      </c>
    </row>
    <row r="47">
      <c r="A47" s="21" t="inlineStr">
        <is>
          <t>Average Service Level:</t>
        </is>
      </c>
      <c r="C47" s="22">
        <f>AVERAGE(K8:K43)</f>
        <v/>
      </c>
      <c r="E47" s="21" t="inlineStr">
        <is>
          <t>Intervals Below 80%:</t>
        </is>
      </c>
      <c r="G47" s="23">
        <f>COUNTIF(K8:K43,"&lt;0.8")</f>
        <v/>
      </c>
    </row>
    <row r="48">
      <c r="A48" s="21" t="inlineStr">
        <is>
          <t>Average Occupancy:</t>
        </is>
      </c>
      <c r="C48" s="24">
        <f>AVERAGE(M8:M43)</f>
        <v/>
      </c>
      <c r="E48" s="21" t="inlineStr">
        <is>
          <t>Average ASA:</t>
        </is>
      </c>
      <c r="G48" s="25">
        <f>AVERAGE(L8:L43)</f>
        <v/>
      </c>
    </row>
    <row r="49">
      <c r="A49" s="21" t="inlineStr">
        <is>
          <t>Total Staffing Gap:</t>
        </is>
      </c>
      <c r="C49" s="26">
        <f>SUM(N8:N43)</f>
        <v/>
      </c>
      <c r="E49" s="10" t="inlineStr">
        <is>
          <t>(Positive = Overstaffed, Negative = Understaffed)</t>
        </is>
      </c>
    </row>
  </sheetData>
  <mergeCells count="8">
    <mergeCell ref="D6:E6"/>
    <mergeCell ref="A2:N2"/>
    <mergeCell ref="A6:C6"/>
    <mergeCell ref="J6:N6"/>
    <mergeCell ref="A46:N46"/>
    <mergeCell ref="F4:N4"/>
    <mergeCell ref="F6:I6"/>
    <mergeCell ref="A1:N1"/>
  </mergeCells>
  <conditionalFormatting sqref="K8:K43">
    <cfRule type="cellIs" priority="1" operator="lessThan" dxfId="0">
      <formula>0.8</formula>
    </cfRule>
  </conditionalFormatting>
  <conditionalFormatting sqref="M8:M43">
    <cfRule type="cellIs" priority="2" operator="greaterThan" dxfId="1">
      <formula>0.85</formula>
    </cfRule>
    <cfRule type="cellIs" priority="3" operator="lessThan" dxfId="2">
      <formula>0.70</formula>
    </cfRule>
  </conditionalFormatting>
  <conditionalFormatting sqref="N8:N43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7"/>
  <sheetViews>
    <sheetView tabSelected="1" workbookViewId="0">
      <selection activeCell="M2" sqref="M2"/>
    </sheetView>
  </sheetViews>
  <sheetFormatPr baseColWidth="10" defaultRowHeight="16"/>
  <cols>
    <col width="10.5" bestFit="1" customWidth="1" min="1" max="1"/>
    <col width="7.5" bestFit="1" customWidth="1" min="2" max="2"/>
    <col width="12" bestFit="1" customWidth="1" min="3" max="3"/>
    <col width="12.1640625" bestFit="1" customWidth="1" min="4" max="4"/>
    <col width="14" bestFit="1" customWidth="1" min="5" max="5"/>
    <col width="15.1640625" bestFit="1" customWidth="1" min="6" max="6"/>
    <col width="19.5" bestFit="1" customWidth="1" min="7" max="7"/>
    <col width="27" bestFit="1" customWidth="1" min="8" max="8"/>
    <col width="30.5" bestFit="1" customWidth="1" min="9" max="9"/>
    <col width="20.83203125" bestFit="1" customWidth="1" min="10" max="10"/>
    <col width="14.6640625" bestFit="1" customWidth="1" min="11" max="11"/>
    <col width="12.6640625" bestFit="1" customWidth="1" style="2" min="12" max="12"/>
    <col width="21" bestFit="1" customWidth="1" min="13" max="13"/>
    <col width="22" bestFit="1" customWidth="1" style="2" min="14" max="14"/>
    <col width="33.83203125" bestFit="1" customWidth="1" min="15" max="15"/>
    <col width="10.83203125" customWidth="1" style="2" min="16" max="16"/>
  </cols>
  <sheetData>
    <row r="1">
      <c r="A1" t="inlineStr">
        <is>
          <t>Day</t>
        </is>
      </c>
      <c r="B1" t="inlineStr">
        <is>
          <t>Date</t>
        </is>
      </c>
      <c r="C1" t="inlineStr">
        <is>
          <t>Time_Interval</t>
        </is>
      </c>
      <c r="D1" t="inlineStr">
        <is>
          <t>Calls_Offered</t>
        </is>
      </c>
      <c r="E1" t="inlineStr">
        <is>
          <t>Calls_Answered</t>
        </is>
      </c>
      <c r="F1" t="inlineStr">
        <is>
          <t>Calls_Abandoned</t>
        </is>
      </c>
      <c r="G1" t="inlineStr">
        <is>
          <t>Abandonment_Rate_%</t>
        </is>
      </c>
      <c r="H1" t="inlineStr">
        <is>
          <t>Average_Handle_Time_Seconds</t>
        </is>
      </c>
      <c r="I1" t="inlineStr">
        <is>
          <t>Average_Speed_of_Answer_Seconds</t>
        </is>
      </c>
      <c r="J1" t="inlineStr">
        <is>
          <t>Traffic_Intensity_Erlangs</t>
        </is>
      </c>
      <c r="K1" t="inlineStr">
        <is>
          <t>Required_Agents</t>
        </is>
      </c>
      <c r="L1" s="2" t="inlineStr">
        <is>
          <t>Occupancy_%</t>
        </is>
      </c>
      <c r="M1" t="inlineStr">
        <is>
          <t>Estimated_ASA_Seconds</t>
        </is>
      </c>
      <c r="N1" s="2" t="inlineStr">
        <is>
          <t>Service_Level_80/90_Met</t>
        </is>
      </c>
      <c r="O1" t="inlineStr">
        <is>
          <t>Excel_Formula_Notes</t>
        </is>
      </c>
      <c r="P1" s="5" t="inlineStr">
        <is>
          <t>Probability of Waiting</t>
        </is>
      </c>
    </row>
    <row r="2">
      <c r="A2" t="inlineStr">
        <is>
          <t>Monday</t>
        </is>
      </c>
      <c r="B2" s="1" t="n">
        <v>45663</v>
      </c>
      <c r="C2" t="inlineStr">
        <is>
          <t>08:00-08:15</t>
        </is>
      </c>
      <c r="D2" t="n">
        <v>25</v>
      </c>
      <c r="E2" t="n">
        <v>17</v>
      </c>
      <c r="F2">
        <f>D2-E2</f>
        <v/>
      </c>
      <c r="G2" s="2">
        <f>F2/D2</f>
        <v/>
      </c>
      <c r="H2" t="n">
        <v>258</v>
      </c>
      <c r="I2" t="n">
        <v>52</v>
      </c>
      <c r="J2" s="3">
        <f>D2*H2/900</f>
        <v/>
      </c>
      <c r="K2" s="3">
        <f>ROUNDUP(J2+SQRT(J2)*1.5,0)</f>
        <v/>
      </c>
      <c r="L2" s="4">
        <f>J2/K2</f>
        <v/>
      </c>
      <c r="M2" s="3">
        <f>IF(K2&lt;=J2,"Need More Agents",(P2*H2)/(K2-J2))</f>
        <v/>
      </c>
      <c r="N2" s="4">
        <f>IF(K2&lt;=J2,0,1-(P2*EXP(-((K2-J2)*(90/H2)))))</f>
        <v/>
      </c>
      <c r="O2" t="inlineStr">
        <is>
          <t>Traffic: =D2*H2/900</t>
        </is>
      </c>
      <c r="P2" s="4">
        <f t="array" ref="P2">IF(K2&lt;=J2,"Need More Agents",
  (POWER(K2,J2)/FACT(K2)*(K2/(K2-J2)))/
  (SUMPRODUCT(POWER(J2,ROW(INDIRECT("1:"&amp;K2))-1)/FACT(ROW(INDIRECT("1:"&amp;K2))-1))+
  (POWER(K2,J2)/FACT(K2)*(K2/(K2-J2)))))</f>
        <v/>
      </c>
    </row>
    <row r="3">
      <c r="A3" t="inlineStr">
        <is>
          <t>Monday</t>
        </is>
      </c>
      <c r="B3" s="1" t="n">
        <v>45663</v>
      </c>
      <c r="C3" t="inlineStr">
        <is>
          <t>08:15-08:30</t>
        </is>
      </c>
      <c r="D3" t="n">
        <v>14</v>
      </c>
      <c r="E3" t="n">
        <v>13</v>
      </c>
      <c r="F3">
        <f>D3-E3</f>
        <v/>
      </c>
      <c r="G3" s="2">
        <f>F3/D3</f>
        <v/>
      </c>
      <c r="H3" t="n">
        <v>264</v>
      </c>
      <c r="I3" t="n">
        <v>48</v>
      </c>
      <c r="J3" s="3">
        <f>D3*H3/900</f>
        <v/>
      </c>
      <c r="K3" s="3">
        <f>ROUNDUP(J3+SQRT(J3)*1.5,0)</f>
        <v/>
      </c>
      <c r="L3" s="4">
        <f>J3/K3</f>
        <v/>
      </c>
      <c r="M3" s="3">
        <f>IF(K3&lt;=J3,"Need More Agents",(P3*H3)/(K3-J3))</f>
        <v/>
      </c>
      <c r="N3" s="4">
        <f>IF(K3&lt;=J3,0,1-(P3*EXP(-((K3-J3)*(90/H3)))))</f>
        <v/>
      </c>
      <c r="O3" t="inlineStr">
        <is>
          <t>Agents: =ROUNDUP(J2+SQRT(J2)*1.5,0)</t>
        </is>
      </c>
      <c r="P3" s="4">
        <f t="array" ref="P3">IF(K3&lt;=J3,"Need More Agents",
  (POWER(K3,J3)/FACT(K3)*(K3/(K3-J3)))/
  (SUMPRODUCT(POWER(J3,ROW(INDIRECT("1:"&amp;K3))-1)/FACT(ROW(INDIRECT("1:"&amp;K3))-1))+
  (POWER(K3,J3)/FACT(K3)*(K3/(K3-J3)))))</f>
        <v/>
      </c>
    </row>
    <row r="4">
      <c r="A4" t="inlineStr">
        <is>
          <t>Monday</t>
        </is>
      </c>
      <c r="B4" s="1" t="n">
        <v>45663</v>
      </c>
      <c r="C4" t="inlineStr">
        <is>
          <t>08:30-08:45</t>
        </is>
      </c>
      <c r="D4" t="n">
        <v>11</v>
      </c>
      <c r="E4" t="n">
        <v>11</v>
      </c>
      <c r="F4">
        <f>D4-E4</f>
        <v/>
      </c>
      <c r="G4" s="2">
        <f>F4/D4</f>
        <v/>
      </c>
      <c r="H4" t="n">
        <v>276</v>
      </c>
      <c r="I4" t="n">
        <v>28</v>
      </c>
      <c r="J4" s="3">
        <f>D4*H4/900</f>
        <v/>
      </c>
      <c r="K4" s="3">
        <f>ROUNDUP(J4+SQRT(J4)*1.5,0)</f>
        <v/>
      </c>
      <c r="L4" s="4">
        <f>J4/K4</f>
        <v/>
      </c>
      <c r="M4" s="3">
        <f>IF(K4&lt;=J4,"Need More Agents",(P4*H4)/(K4-J4))</f>
        <v/>
      </c>
      <c r="N4" s="4">
        <f>IF(K4&lt;=J4,0,1-(P4*EXP(-((K4-J4)*(90/H4)))))</f>
        <v/>
      </c>
      <c r="O4" t="inlineStr">
        <is>
          <t>Occupancy: =J2/K2</t>
        </is>
      </c>
      <c r="P4" s="4">
        <f t="array" ref="P4">IF(K4&lt;=J4,"Need More Agents",
  (POWER(K4,J4)/FACT(K4)*(K4/(K4-J4)))/
  (SUMPRODUCT(POWER(J4,ROW(INDIRECT("1:"&amp;K4))-1)/FACT(ROW(INDIRECT("1:"&amp;K4))-1))+
  (POWER(K4,J4)/FACT(K4)*(K4/(K4-J4)))))</f>
        <v/>
      </c>
    </row>
    <row r="5">
      <c r="A5" t="inlineStr">
        <is>
          <t>Monday</t>
        </is>
      </c>
      <c r="B5" s="1" t="n">
        <v>45663</v>
      </c>
      <c r="C5" t="inlineStr">
        <is>
          <t>08:45-09:00</t>
        </is>
      </c>
      <c r="D5" t="n">
        <v>9</v>
      </c>
      <c r="E5" t="n">
        <v>9</v>
      </c>
      <c r="F5">
        <f>D5-E5</f>
        <v/>
      </c>
      <c r="G5" s="2">
        <f>F5/D5</f>
        <v/>
      </c>
      <c r="H5" t="n">
        <v>270</v>
      </c>
      <c r="I5" t="n">
        <v>24</v>
      </c>
      <c r="J5" s="3">
        <f>D5*H5/900</f>
        <v/>
      </c>
      <c r="K5" s="3">
        <f>ROUNDUP(J5+SQRT(J5)*1.5,0)</f>
        <v/>
      </c>
      <c r="L5" s="4">
        <f>J5/K5</f>
        <v/>
      </c>
      <c r="M5" s="3">
        <f>IF(K5&lt;=J5,"Need More Agents",(P5*H5)/(K5-J5))</f>
        <v/>
      </c>
      <c r="N5" s="4">
        <f>IF(K5&lt;=J5,0,1-(P5*EXP(-((K5-J5)*(90/H5)))))</f>
        <v/>
      </c>
      <c r="O5" t="inlineStr">
        <is>
          <t>For Goal Seek use Erlang C</t>
        </is>
      </c>
      <c r="P5" s="4">
        <f t="array" ref="P5">IF(K5&lt;=J5,"Need More Agents",
  (POWER(K5,J5)/FACT(K5)*(K5/(K5-J5)))/
  (SUMPRODUCT(POWER(J5,ROW(INDIRECT("1:"&amp;K5))-1)/FACT(ROW(INDIRECT("1:"&amp;K5))-1))+
  (POWER(K5,J5)/FACT(K5)*(K5/(K5-J5)))))</f>
        <v/>
      </c>
    </row>
    <row r="6">
      <c r="A6" t="inlineStr">
        <is>
          <t>Monday</t>
        </is>
      </c>
      <c r="B6" s="1" t="n">
        <v>45663</v>
      </c>
      <c r="C6" t="inlineStr">
        <is>
          <t>09:00-09:15</t>
        </is>
      </c>
      <c r="D6" t="n">
        <v>28</v>
      </c>
      <c r="E6" t="n">
        <v>27</v>
      </c>
      <c r="F6">
        <f>D6-E6</f>
        <v/>
      </c>
      <c r="G6" s="2">
        <f>F6/D6</f>
        <v/>
      </c>
      <c r="H6" t="n">
        <v>264</v>
      </c>
      <c r="I6" t="n">
        <v>45</v>
      </c>
      <c r="J6" s="3">
        <f>D6*H6/900</f>
        <v/>
      </c>
      <c r="K6" s="3">
        <f>ROUNDUP(J6+SQRT(J6)*1.5,0)</f>
        <v/>
      </c>
      <c r="L6" s="4">
        <f>J6/K6</f>
        <v/>
      </c>
      <c r="M6" s="3">
        <f>IF(K6&lt;=J6,"Need More Agents",(P6*H6)/(K6-J6))</f>
        <v/>
      </c>
      <c r="N6" s="4">
        <f>IF(K6&lt;=J6,0,1-(P6*EXP(-((K6-J6)*(90/H6)))))</f>
        <v/>
      </c>
      <c r="P6" s="4">
        <f t="array" ref="P6">IF(K6&lt;=J6,"Need More Agents",
  (POWER(K6,J6)/FACT(K6)*(K6/(K6-J6)))/
  (SUMPRODUCT(POWER(J6,ROW(INDIRECT("1:"&amp;K6))-1)/FACT(ROW(INDIRECT("1:"&amp;K6))-1))+
  (POWER(K6,J6)/FACT(K6)*(K6/(K6-J6)))))</f>
        <v/>
      </c>
    </row>
    <row r="7">
      <c r="A7" t="inlineStr">
        <is>
          <t>Monday</t>
        </is>
      </c>
      <c r="B7" s="1" t="n">
        <v>45663</v>
      </c>
      <c r="C7" t="inlineStr">
        <is>
          <t>09:15-09:30</t>
        </is>
      </c>
      <c r="D7" t="n">
        <v>19</v>
      </c>
      <c r="E7" t="n">
        <v>19</v>
      </c>
      <c r="F7">
        <f>D7-E7</f>
        <v/>
      </c>
      <c r="G7" s="2">
        <f>F7/D7</f>
        <v/>
      </c>
      <c r="H7" t="n">
        <v>270</v>
      </c>
      <c r="I7" t="n">
        <v>32</v>
      </c>
      <c r="J7" s="3">
        <f>D7*H7/900</f>
        <v/>
      </c>
      <c r="K7" s="3">
        <f>ROUNDUP(J7+SQRT(J7)*1.5,0)</f>
        <v/>
      </c>
      <c r="L7" s="4">
        <f>J7/K7</f>
        <v/>
      </c>
      <c r="M7" s="3">
        <f>IF(K7&lt;=J7,"Need More Agents",(P7*H7)/(K7-J7))</f>
        <v/>
      </c>
      <c r="N7" s="4">
        <f>IF(K7&lt;=J7,0,1-(P7*EXP(-((K7-J7)*(90/H7)))))</f>
        <v/>
      </c>
      <c r="P7" s="4">
        <f t="array" ref="P7">IF(K7&lt;=J7,"Need More Agents",
  (POWER(K7,J7)/FACT(K7)*(K7/(K7-J7)))/
  (SUMPRODUCT(POWER(J7,ROW(INDIRECT("1:"&amp;K7))-1)/FACT(ROW(INDIRECT("1:"&amp;K7))-1))+
  (POWER(K7,J7)/FACT(K7)*(K7/(K7-J7)))))</f>
        <v/>
      </c>
    </row>
    <row r="8">
      <c r="A8" t="inlineStr">
        <is>
          <t>Monday</t>
        </is>
      </c>
      <c r="B8" s="1" t="n">
        <v>45663</v>
      </c>
      <c r="C8" t="inlineStr">
        <is>
          <t>09:30-09:45</t>
        </is>
      </c>
      <c r="D8" t="n">
        <v>16</v>
      </c>
      <c r="E8" t="n">
        <v>16</v>
      </c>
      <c r="F8">
        <f>D8-E8</f>
        <v/>
      </c>
      <c r="G8" s="2">
        <f>F8/D8</f>
        <v/>
      </c>
      <c r="H8" t="n">
        <v>276</v>
      </c>
      <c r="I8" t="n">
        <v>30</v>
      </c>
      <c r="J8" s="3">
        <f>D8*H8/900</f>
        <v/>
      </c>
      <c r="K8" s="3">
        <f>ROUNDUP(J8+SQRT(J8)*1.5,0)</f>
        <v/>
      </c>
      <c r="L8" s="4">
        <f>J8/K8</f>
        <v/>
      </c>
      <c r="M8" s="3">
        <f>IF(K8&lt;=J8,"Need More Agents",(P8*H8)/(K8-J8))</f>
        <v/>
      </c>
      <c r="N8" s="4">
        <f>IF(K8&lt;=J8,0,1-(P8*EXP(-((K8-J8)*(90/H8)))))</f>
        <v/>
      </c>
      <c r="P8" s="4">
        <f t="array" ref="P8">IF(K8&lt;=J8,"Need More Agents",
  (POWER(K8,J8)/FACT(K8)*(K8/(K8-J8)))/
  (SUMPRODUCT(POWER(J8,ROW(INDIRECT("1:"&amp;K8))-1)/FACT(ROW(INDIRECT("1:"&amp;K8))-1))+
  (POWER(K8,J8)/FACT(K8)*(K8/(K8-J8)))))</f>
        <v/>
      </c>
    </row>
    <row r="9">
      <c r="A9" t="inlineStr">
        <is>
          <t>Monday</t>
        </is>
      </c>
      <c r="B9" s="1" t="n">
        <v>45663</v>
      </c>
      <c r="C9" t="inlineStr">
        <is>
          <t>09:45-10:00</t>
        </is>
      </c>
      <c r="D9" t="n">
        <v>13</v>
      </c>
      <c r="E9" t="n">
        <v>13</v>
      </c>
      <c r="F9">
        <f>D9-E9</f>
        <v/>
      </c>
      <c r="G9" s="2">
        <f>F9/D9</f>
        <v/>
      </c>
      <c r="H9" t="n">
        <v>264</v>
      </c>
      <c r="I9" t="n">
        <v>26</v>
      </c>
      <c r="J9" s="3">
        <f>D9*H9/900</f>
        <v/>
      </c>
      <c r="K9" s="3">
        <f>ROUNDUP(J9+SQRT(J9)*1.5,0)</f>
        <v/>
      </c>
      <c r="L9" s="4">
        <f>J9/K9</f>
        <v/>
      </c>
      <c r="M9" s="3">
        <f>IF(K9&lt;=J9,"Need More Agents",(P9*H9)/(K9-J9))</f>
        <v/>
      </c>
      <c r="N9" s="4">
        <f>IF(K9&lt;=J9,0,1-(P9*EXP(-((K9-J9)*(90/H9)))))</f>
        <v/>
      </c>
      <c r="P9" s="4">
        <f t="array" ref="P9">IF(K9&lt;=J9,"Need More Agents",
  (POWER(K9,J9)/FACT(K9)*(K9/(K9-J9)))/
  (SUMPRODUCT(POWER(J9,ROW(INDIRECT("1:"&amp;K9))-1)/FACT(ROW(INDIRECT("1:"&amp;K9))-1))+
  (POWER(K9,J9)/FACT(K9)*(K9/(K9-J9)))))</f>
        <v/>
      </c>
    </row>
    <row r="10">
      <c r="A10" t="inlineStr">
        <is>
          <t>Monday</t>
        </is>
      </c>
      <c r="B10" s="1" t="n">
        <v>45663</v>
      </c>
      <c r="C10" t="inlineStr">
        <is>
          <t>10:00-10:15</t>
        </is>
      </c>
      <c r="D10" t="n">
        <v>35</v>
      </c>
      <c r="E10" t="n">
        <v>33</v>
      </c>
      <c r="F10">
        <f>D10-E10</f>
        <v/>
      </c>
      <c r="G10" s="2">
        <f>F10/D10</f>
        <v/>
      </c>
      <c r="H10" t="n">
        <v>276</v>
      </c>
      <c r="I10" t="n">
        <v>58</v>
      </c>
      <c r="J10" s="3">
        <f>D10*H10/900</f>
        <v/>
      </c>
      <c r="K10" s="3">
        <f>ROUNDUP(J10+SQRT(J10)*1.5,0)</f>
        <v/>
      </c>
      <c r="L10" s="4">
        <f>J10/K10</f>
        <v/>
      </c>
      <c r="M10" s="3">
        <f>IF(K10&lt;=J10,"Need More Agents",(P10*H10)/(K10-J10))</f>
        <v/>
      </c>
      <c r="N10" s="4">
        <f>IF(K10&lt;=J10,0,1-(P10*EXP(-((K10-J10)*(90/H10)))))</f>
        <v/>
      </c>
      <c r="P10" s="4">
        <f t="array" ref="P10">IF(K10&lt;=J10,"Need More Agents",
  (POWER(K10,J10)/FACT(K10)*(K10/(K10-J10)))/
  (SUMPRODUCT(POWER(J10,ROW(INDIRECT("1:"&amp;K10))-1)/FACT(ROW(INDIRECT("1:"&amp;K10))-1))+
  (POWER(K10,J10)/FACT(K10)*(K10/(K10-J10)))))</f>
        <v/>
      </c>
    </row>
    <row r="11">
      <c r="A11" t="inlineStr">
        <is>
          <t>Monday</t>
        </is>
      </c>
      <c r="B11" s="1" t="n">
        <v>45663</v>
      </c>
      <c r="C11" t="inlineStr">
        <is>
          <t>10:15-10:30</t>
        </is>
      </c>
      <c r="D11" t="n">
        <v>24</v>
      </c>
      <c r="E11" t="n">
        <v>23</v>
      </c>
      <c r="F11">
        <f>D11-E11</f>
        <v/>
      </c>
      <c r="G11" s="2">
        <f>F11/D11</f>
        <v/>
      </c>
      <c r="H11" t="n">
        <v>270</v>
      </c>
      <c r="I11" t="n">
        <v>46</v>
      </c>
      <c r="J11" s="3">
        <f>D11*H11/900</f>
        <v/>
      </c>
      <c r="K11" s="3">
        <f>ROUNDUP(J11+SQRT(J11)*1.5,0)</f>
        <v/>
      </c>
      <c r="L11" s="4">
        <f>J11/K11</f>
        <v/>
      </c>
      <c r="M11" s="3">
        <f>IF(K11&lt;=J11,"Need More Agents",(P11*H11)/(K11-J11))</f>
        <v/>
      </c>
      <c r="N11" s="4">
        <f>IF(K11&lt;=J11,0,1-(P11*EXP(-((K11-J11)*(90/H11)))))</f>
        <v/>
      </c>
      <c r="P11" s="4">
        <f t="array" ref="P11">IF(K11&lt;=J11,"Need More Agents",
  (POWER(K11,J11)/FACT(K11)*(K11/(K11-J11)))/
  (SUMPRODUCT(POWER(J11,ROW(INDIRECT("1:"&amp;K11))-1)/FACT(ROW(INDIRECT("1:"&amp;K11))-1))+
  (POWER(K11,J11)/FACT(K11)*(K11/(K11-J11)))))</f>
        <v/>
      </c>
    </row>
    <row r="12">
      <c r="A12" t="inlineStr">
        <is>
          <t>Monday</t>
        </is>
      </c>
      <c r="B12" s="1" t="n">
        <v>45663</v>
      </c>
      <c r="C12" t="inlineStr">
        <is>
          <t>10:30-10:45</t>
        </is>
      </c>
      <c r="D12" t="n">
        <v>20</v>
      </c>
      <c r="E12" t="n">
        <v>20</v>
      </c>
      <c r="F12">
        <f>D12-E12</f>
        <v/>
      </c>
      <c r="G12" s="2">
        <f>F12/D12</f>
        <v/>
      </c>
      <c r="H12" t="n">
        <v>264</v>
      </c>
      <c r="I12" t="n">
        <v>34</v>
      </c>
      <c r="J12" s="3">
        <f>D12*H12/900</f>
        <v/>
      </c>
      <c r="K12" s="3">
        <f>ROUNDUP(J12+SQRT(J12)*1.5,0)</f>
        <v/>
      </c>
      <c r="L12" s="4">
        <f>J12/K12</f>
        <v/>
      </c>
      <c r="M12" s="3">
        <f>IF(K12&lt;=J12,"Need More Agents",(P12*H12)/(K12-J12))</f>
        <v/>
      </c>
      <c r="N12" s="4">
        <f>IF(K12&lt;=J12,0,1-(P12*EXP(-((K12-J12)*(90/H12)))))</f>
        <v/>
      </c>
      <c r="P12" s="4">
        <f t="array" ref="P12">IF(K12&lt;=J12,"Need More Agents",
  (POWER(K12,J12)/FACT(K12)*(K12/(K12-J12)))/
  (SUMPRODUCT(POWER(J12,ROW(INDIRECT("1:"&amp;K12))-1)/FACT(ROW(INDIRECT("1:"&amp;K12))-1))+
  (POWER(K12,J12)/FACT(K12)*(K12/(K12-J12)))))</f>
        <v/>
      </c>
    </row>
    <row r="13">
      <c r="A13" t="inlineStr">
        <is>
          <t>Monday</t>
        </is>
      </c>
      <c r="B13" s="1" t="n">
        <v>45663</v>
      </c>
      <c r="C13" t="inlineStr">
        <is>
          <t>10:45-11:00</t>
        </is>
      </c>
      <c r="D13" t="n">
        <v>16</v>
      </c>
      <c r="E13" t="n">
        <v>16</v>
      </c>
      <c r="F13">
        <f>D13-E13</f>
        <v/>
      </c>
      <c r="G13" s="2">
        <f>F13/D13</f>
        <v/>
      </c>
      <c r="H13" t="n">
        <v>270</v>
      </c>
      <c r="I13" t="n">
        <v>30</v>
      </c>
      <c r="J13" s="3">
        <f>D13*H13/900</f>
        <v/>
      </c>
      <c r="K13" s="3">
        <f>ROUNDUP(J13+SQRT(J13)*1.5,0)</f>
        <v/>
      </c>
      <c r="L13" s="4">
        <f>J13/K13</f>
        <v/>
      </c>
      <c r="M13" s="3">
        <f>IF(K13&lt;=J13,"Need More Agents",(P13*H13)/(K13-J13))</f>
        <v/>
      </c>
      <c r="N13" s="4">
        <f>IF(K13&lt;=J13,0,1-(P13*EXP(-((K13-J13)*(90/H13)))))</f>
        <v/>
      </c>
      <c r="P13" s="4">
        <f t="array" ref="P13">IF(K13&lt;=J13,"Need More Agents",
  (POWER(K13,J13)/FACT(K13)*(K13/(K13-J13)))/
  (SUMPRODUCT(POWER(J13,ROW(INDIRECT("1:"&amp;K13))-1)/FACT(ROW(INDIRECT("1:"&amp;K13))-1))+
  (POWER(K13,J13)/FACT(K13)*(K13/(K13-J13)))))</f>
        <v/>
      </c>
    </row>
    <row r="14">
      <c r="A14" t="inlineStr">
        <is>
          <t>Monday</t>
        </is>
      </c>
      <c r="B14" s="1" t="n">
        <v>45663</v>
      </c>
      <c r="C14" t="inlineStr">
        <is>
          <t>11:00-11:15</t>
        </is>
      </c>
      <c r="D14" t="n">
        <v>32</v>
      </c>
      <c r="E14" t="n">
        <v>30</v>
      </c>
      <c r="F14">
        <f>D14-E14</f>
        <v/>
      </c>
      <c r="G14" s="2">
        <f>F14/D14</f>
        <v/>
      </c>
      <c r="H14" t="n">
        <v>282</v>
      </c>
      <c r="I14" t="n">
        <v>55</v>
      </c>
      <c r="J14" s="3">
        <f>D14*H14/900</f>
        <v/>
      </c>
      <c r="K14" s="3">
        <f>ROUNDUP(J14+SQRT(J14)*1.5,0)</f>
        <v/>
      </c>
      <c r="L14" s="4">
        <f>J14/K14</f>
        <v/>
      </c>
      <c r="M14" s="3">
        <f>IF(K14&lt;=J14,"Need More Agents",(P14*H14)/(K14-J14))</f>
        <v/>
      </c>
      <c r="N14" s="4">
        <f>IF(K14&lt;=J14,0,1-(P14*EXP(-((K14-J14)*(90/H14)))))</f>
        <v/>
      </c>
      <c r="P14" s="4">
        <f t="array" ref="P14">IF(K14&lt;=J14,"Need More Agents",
  (POWER(K14,J14)/FACT(K14)*(K14/(K14-J14)))/
  (SUMPRODUCT(POWER(J14,ROW(INDIRECT("1:"&amp;K14))-1)/FACT(ROW(INDIRECT("1:"&amp;K14))-1))+
  (POWER(K14,J14)/FACT(K14)*(K14/(K14-J14)))))</f>
        <v/>
      </c>
    </row>
    <row r="15">
      <c r="A15" t="inlineStr">
        <is>
          <t>Monday</t>
        </is>
      </c>
      <c r="B15" s="1" t="n">
        <v>45663</v>
      </c>
      <c r="C15" t="inlineStr">
        <is>
          <t>11:15-11:30</t>
        </is>
      </c>
      <c r="D15" t="n">
        <v>22</v>
      </c>
      <c r="E15" t="n">
        <v>21</v>
      </c>
      <c r="F15">
        <f>D15-E15</f>
        <v/>
      </c>
      <c r="G15" s="2">
        <f>F15/D15</f>
        <v/>
      </c>
      <c r="H15" t="n">
        <v>276</v>
      </c>
      <c r="I15" t="n">
        <v>44</v>
      </c>
      <c r="J15" s="3">
        <f>D15*H15/900</f>
        <v/>
      </c>
      <c r="K15" s="3">
        <f>ROUNDUP(J15+SQRT(J15)*1.5,0)</f>
        <v/>
      </c>
      <c r="L15" s="4">
        <f>J15/K15</f>
        <v/>
      </c>
      <c r="M15" s="3">
        <f>IF(K15&lt;=J15,"Need More Agents",(P15*H15)/(K15-J15))</f>
        <v/>
      </c>
      <c r="N15" s="4">
        <f>IF(K15&lt;=J15,0,1-(P15*EXP(-((K15-J15)*(90/H15)))))</f>
        <v/>
      </c>
      <c r="P15" s="4">
        <f t="array" ref="P15">IF(K15&lt;=J15,"Need More Agents",
  (POWER(K15,J15)/FACT(K15)*(K15/(K15-J15)))/
  (SUMPRODUCT(POWER(J15,ROW(INDIRECT("1:"&amp;K15))-1)/FACT(ROW(INDIRECT("1:"&amp;K15))-1))+
  (POWER(K15,J15)/FACT(K15)*(K15/(K15-J15)))))</f>
        <v/>
      </c>
    </row>
    <row r="16">
      <c r="A16" t="inlineStr">
        <is>
          <t>Monday</t>
        </is>
      </c>
      <c r="B16" s="1" t="n">
        <v>45663</v>
      </c>
      <c r="C16" t="inlineStr">
        <is>
          <t>11:30-11:45</t>
        </is>
      </c>
      <c r="D16" t="n">
        <v>18</v>
      </c>
      <c r="E16" t="n">
        <v>18</v>
      </c>
      <c r="F16">
        <f>D16-E16</f>
        <v/>
      </c>
      <c r="G16" s="2">
        <f>F16/D16</f>
        <v/>
      </c>
      <c r="H16" t="n">
        <v>264</v>
      </c>
      <c r="I16" t="n">
        <v>32</v>
      </c>
      <c r="J16" s="3">
        <f>D16*H16/900</f>
        <v/>
      </c>
      <c r="K16" s="3">
        <f>ROUNDUP(J16+SQRT(J16)*1.5,0)</f>
        <v/>
      </c>
      <c r="L16" s="4">
        <f>J16/K16</f>
        <v/>
      </c>
      <c r="M16" s="3">
        <f>IF(K16&lt;=J16,"Need More Agents",(P16*H16)/(K16-J16))</f>
        <v/>
      </c>
      <c r="N16" s="4">
        <f>IF(K16&lt;=J16,0,1-(P16*EXP(-((K16-J16)*(90/H16)))))</f>
        <v/>
      </c>
      <c r="P16" s="4">
        <f t="array" ref="P16">IF(K16&lt;=J16,"Need More Agents",
  (POWER(K16,J16)/FACT(K16)*(K16/(K16-J16)))/
  (SUMPRODUCT(POWER(J16,ROW(INDIRECT("1:"&amp;K16))-1)/FACT(ROW(INDIRECT("1:"&amp;K16))-1))+
  (POWER(K16,J16)/FACT(K16)*(K16/(K16-J16)))))</f>
        <v/>
      </c>
    </row>
    <row r="17">
      <c r="A17" t="inlineStr">
        <is>
          <t>Monday</t>
        </is>
      </c>
      <c r="B17" s="1" t="n">
        <v>45663</v>
      </c>
      <c r="C17" t="inlineStr">
        <is>
          <t>11:45-12:00</t>
        </is>
      </c>
      <c r="D17" t="n">
        <v>15</v>
      </c>
      <c r="E17" t="n">
        <v>15</v>
      </c>
      <c r="F17">
        <f>D17-E17</f>
        <v/>
      </c>
      <c r="G17" s="2">
        <f>F17/D17</f>
        <v/>
      </c>
      <c r="H17" t="n">
        <v>270</v>
      </c>
      <c r="I17" t="n">
        <v>28</v>
      </c>
      <c r="J17" s="3">
        <f>D17*H17/900</f>
        <v/>
      </c>
      <c r="K17" s="3">
        <f>ROUNDUP(J17+SQRT(J17)*1.5,0)</f>
        <v/>
      </c>
      <c r="L17" s="4">
        <f>J17/K17</f>
        <v/>
      </c>
      <c r="M17" s="3">
        <f>IF(K17&lt;=J17,"Need More Agents",(P17*H17)/(K17-J17))</f>
        <v/>
      </c>
      <c r="N17" s="4">
        <f>IF(K17&lt;=J17,0,1-(P17*EXP(-((K17-J17)*(90/H17)))))</f>
        <v/>
      </c>
      <c r="P17" s="4">
        <f t="array" ref="P17">IF(K17&lt;=J17,"Need More Agents",
  (POWER(K17,J17)/FACT(K17)*(K17/(K17-J17)))/
  (SUMPRODUCT(POWER(J17,ROW(INDIRECT("1:"&amp;K17))-1)/FACT(ROW(INDIRECT("1:"&amp;K17))-1))+
  (POWER(K17,J17)/FACT(K17)*(K17/(K17-J17)))))</f>
        <v/>
      </c>
    </row>
    <row r="18">
      <c r="A18" t="inlineStr">
        <is>
          <t>Monday</t>
        </is>
      </c>
      <c r="B18" s="1" t="n">
        <v>45663</v>
      </c>
      <c r="C18" t="inlineStr">
        <is>
          <t>12:00-12:15</t>
        </is>
      </c>
      <c r="D18" t="n">
        <v>22</v>
      </c>
      <c r="E18" t="n">
        <v>21</v>
      </c>
      <c r="F18">
        <f>D18-E18</f>
        <v/>
      </c>
      <c r="G18" s="2">
        <f>F18/D18</f>
        <v/>
      </c>
      <c r="H18" t="n">
        <v>258</v>
      </c>
      <c r="I18" t="n">
        <v>42</v>
      </c>
      <c r="J18" s="3">
        <f>D18*H18/900</f>
        <v/>
      </c>
      <c r="K18" s="3">
        <f>ROUNDUP(J18+SQRT(J18)*1.5,0)</f>
        <v/>
      </c>
      <c r="L18" s="4">
        <f>J18/K18</f>
        <v/>
      </c>
      <c r="M18" s="3">
        <f>IF(K18&lt;=J18,"Need More Agents",(P18*H18)/(K18-J18))</f>
        <v/>
      </c>
      <c r="N18" s="4">
        <f>IF(K18&lt;=J18,0,1-(P18*EXP(-((K18-J18)*(90/H18)))))</f>
        <v/>
      </c>
      <c r="P18" s="4">
        <f t="array" ref="P18">IF(K18&lt;=J18,"Need More Agents",
  (POWER(K18,J18)/FACT(K18)*(K18/(K18-J18)))/
  (SUMPRODUCT(POWER(J18,ROW(INDIRECT("1:"&amp;K18))-1)/FACT(ROW(INDIRECT("1:"&amp;K18))-1))+
  (POWER(K18,J18)/FACT(K18)*(K18/(K18-J18)))))</f>
        <v/>
      </c>
    </row>
    <row r="19">
      <c r="A19" t="inlineStr">
        <is>
          <t>Monday</t>
        </is>
      </c>
      <c r="B19" s="1" t="n">
        <v>45663</v>
      </c>
      <c r="C19" t="inlineStr">
        <is>
          <t>12:15-12:30</t>
        </is>
      </c>
      <c r="D19" t="n">
        <v>15</v>
      </c>
      <c r="E19" t="n">
        <v>15</v>
      </c>
      <c r="F19">
        <f>D19-E19</f>
        <v/>
      </c>
      <c r="G19" s="2">
        <f>F19/D19</f>
        <v/>
      </c>
      <c r="H19" t="n">
        <v>264</v>
      </c>
      <c r="I19" t="n">
        <v>30</v>
      </c>
      <c r="J19" s="3">
        <f>D19*H19/900</f>
        <v/>
      </c>
      <c r="K19" s="3">
        <f>ROUNDUP(J19+SQRT(J19)*1.5,0)</f>
        <v/>
      </c>
      <c r="L19" s="4">
        <f>J19/K19</f>
        <v/>
      </c>
      <c r="M19" s="3">
        <f>IF(K19&lt;=J19,"Need More Agents",(P19*H19)/(K19-J19))</f>
        <v/>
      </c>
      <c r="N19" s="4">
        <f>IF(K19&lt;=J19,0,1-(P19*EXP(-((K19-J19)*(90/H19)))))</f>
        <v/>
      </c>
      <c r="P19" s="4">
        <f t="array" ref="P19">IF(K19&lt;=J19,"Need More Agents",
  (POWER(K19,J19)/FACT(K19)*(K19/(K19-J19)))/
  (SUMPRODUCT(POWER(J19,ROW(INDIRECT("1:"&amp;K19))-1)/FACT(ROW(INDIRECT("1:"&amp;K19))-1))+
  (POWER(K19,J19)/FACT(K19)*(K19/(K19-J19)))))</f>
        <v/>
      </c>
    </row>
    <row r="20">
      <c r="A20" t="inlineStr">
        <is>
          <t>Monday</t>
        </is>
      </c>
      <c r="B20" s="1" t="n">
        <v>45663</v>
      </c>
      <c r="C20" t="inlineStr">
        <is>
          <t>12:30-12:45</t>
        </is>
      </c>
      <c r="D20" t="n">
        <v>12</v>
      </c>
      <c r="E20" t="n">
        <v>12</v>
      </c>
      <c r="F20">
        <f>D20-E20</f>
        <v/>
      </c>
      <c r="G20" s="2">
        <f>F20/D20</f>
        <v/>
      </c>
      <c r="H20" t="n">
        <v>270</v>
      </c>
      <c r="I20" t="n">
        <v>25</v>
      </c>
      <c r="J20" s="3">
        <f>D20*H20/900</f>
        <v/>
      </c>
      <c r="K20" s="3">
        <f>ROUNDUP(J20+SQRT(J20)*1.5,0)</f>
        <v/>
      </c>
      <c r="L20" s="4">
        <f>J20/K20</f>
        <v/>
      </c>
      <c r="M20" s="3">
        <f>IF(K20&lt;=J20,"Need More Agents",(P20*H20)/(K20-J20))</f>
        <v/>
      </c>
      <c r="N20" s="4">
        <f>IF(K20&lt;=J20,0,1-(P20*EXP(-((K20-J20)*(90/H20)))))</f>
        <v/>
      </c>
      <c r="P20" s="4">
        <f t="array" ref="P20">IF(K20&lt;=J20,"Need More Agents",
  (POWER(K20,J20)/FACT(K20)*(K20/(K20-J20)))/
  (SUMPRODUCT(POWER(J20,ROW(INDIRECT("1:"&amp;K20))-1)/FACT(ROW(INDIRECT("1:"&amp;K20))-1))+
  (POWER(K20,J20)/FACT(K20)*(K20/(K20-J20)))))</f>
        <v/>
      </c>
    </row>
    <row r="21">
      <c r="A21" t="inlineStr">
        <is>
          <t>Monday</t>
        </is>
      </c>
      <c r="B21" s="1" t="n">
        <v>45663</v>
      </c>
      <c r="C21" t="inlineStr">
        <is>
          <t>12:45-13:00</t>
        </is>
      </c>
      <c r="D21" t="n">
        <v>10</v>
      </c>
      <c r="E21" t="n">
        <v>10</v>
      </c>
      <c r="F21">
        <f>D21-E21</f>
        <v/>
      </c>
      <c r="G21" s="2">
        <f>F21/D21</f>
        <v/>
      </c>
      <c r="H21" t="n">
        <v>264</v>
      </c>
      <c r="I21" t="n">
        <v>23</v>
      </c>
      <c r="J21" s="3">
        <f>D21*H21/900</f>
        <v/>
      </c>
      <c r="K21" s="3">
        <f>ROUNDUP(J21+SQRT(J21)*1.5,0)</f>
        <v/>
      </c>
      <c r="L21" s="4">
        <f>J21/K21</f>
        <v/>
      </c>
      <c r="M21" s="3">
        <f>IF(K21&lt;=J21,"Need More Agents",(P21*H21)/(K21-J21))</f>
        <v/>
      </c>
      <c r="N21" s="4">
        <f>IF(K21&lt;=J21,0,1-(P21*EXP(-((K21-J21)*(90/H21)))))</f>
        <v/>
      </c>
      <c r="P21" s="4">
        <f t="array" ref="P21">IF(K21&lt;=J21,"Need More Agents",
  (POWER(K21,J21)/FACT(K21)*(K21/(K21-J21)))/
  (SUMPRODUCT(POWER(J21,ROW(INDIRECT("1:"&amp;K21))-1)/FACT(ROW(INDIRECT("1:"&amp;K21))-1))+
  (POWER(K21,J21)/FACT(K21)*(K21/(K21-J21)))))</f>
        <v/>
      </c>
    </row>
    <row r="22">
      <c r="A22" t="inlineStr">
        <is>
          <t>Monday</t>
        </is>
      </c>
      <c r="B22" s="1" t="n">
        <v>45663</v>
      </c>
      <c r="C22" t="inlineStr">
        <is>
          <t>13:00-13:15</t>
        </is>
      </c>
      <c r="D22" t="n">
        <v>26</v>
      </c>
      <c r="E22" t="n">
        <v>25</v>
      </c>
      <c r="F22">
        <f>D22-E22</f>
        <v/>
      </c>
      <c r="G22" s="2">
        <f>F22/D22</f>
        <v/>
      </c>
      <c r="H22" t="n">
        <v>276</v>
      </c>
      <c r="I22" t="n">
        <v>43</v>
      </c>
      <c r="J22" s="3">
        <f>D22*H22/900</f>
        <v/>
      </c>
      <c r="K22" s="3">
        <f>ROUNDUP(J22+SQRT(J22)*1.5,0)</f>
        <v/>
      </c>
      <c r="L22" s="4">
        <f>J22/K22</f>
        <v/>
      </c>
      <c r="M22" s="3">
        <f>IF(K22&lt;=J22,"Need More Agents",(P22*H22)/(K22-J22))</f>
        <v/>
      </c>
      <c r="N22" s="4">
        <f>IF(K22&lt;=J22,0,1-(P22*EXP(-((K22-J22)*(90/H22)))))</f>
        <v/>
      </c>
      <c r="P22" s="4">
        <f t="array" ref="P22">IF(K22&lt;=J22,"Need More Agents",
  (POWER(K22,J22)/FACT(K22)*(K22/(K22-J22)))/
  (SUMPRODUCT(POWER(J22,ROW(INDIRECT("1:"&amp;K22))-1)/FACT(ROW(INDIRECT("1:"&amp;K22))-1))+
  (POWER(K22,J22)/FACT(K22)*(K22/(K22-J22)))))</f>
        <v/>
      </c>
    </row>
    <row r="23">
      <c r="A23" t="inlineStr">
        <is>
          <t>Monday</t>
        </is>
      </c>
      <c r="B23" s="1" t="n">
        <v>45663</v>
      </c>
      <c r="C23" t="inlineStr">
        <is>
          <t>13:15-13:30</t>
        </is>
      </c>
      <c r="D23" t="n">
        <v>18</v>
      </c>
      <c r="E23" t="n">
        <v>18</v>
      </c>
      <c r="F23">
        <f>D23-E23</f>
        <v/>
      </c>
      <c r="G23" s="2">
        <f>F23/D23</f>
        <v/>
      </c>
      <c r="H23" t="n">
        <v>270</v>
      </c>
      <c r="I23" t="n">
        <v>32</v>
      </c>
      <c r="J23" s="3">
        <f>D23*H23/900</f>
        <v/>
      </c>
      <c r="K23" s="3">
        <f>ROUNDUP(J23+SQRT(J23)*1.5,0)</f>
        <v/>
      </c>
      <c r="L23" s="4">
        <f>J23/K23</f>
        <v/>
      </c>
      <c r="M23" s="3">
        <f>IF(K23&lt;=J23,"Need More Agents",(P23*H23)/(K23-J23))</f>
        <v/>
      </c>
      <c r="N23" s="4">
        <f>IF(K23&lt;=J23,0,1-(P23*EXP(-((K23-J23)*(90/H23)))))</f>
        <v/>
      </c>
      <c r="P23" s="4">
        <f t="array" ref="P23">IF(K23&lt;=J23,"Need More Agents",
  (POWER(K23,J23)/FACT(K23)*(K23/(K23-J23)))/
  (SUMPRODUCT(POWER(J23,ROW(INDIRECT("1:"&amp;K23))-1)/FACT(ROW(INDIRECT("1:"&amp;K23))-1))+
  (POWER(K23,J23)/FACT(K23)*(K23/(K23-J23)))))</f>
        <v/>
      </c>
    </row>
    <row r="24">
      <c r="A24" t="inlineStr">
        <is>
          <t>Monday</t>
        </is>
      </c>
      <c r="B24" s="1" t="n">
        <v>45663</v>
      </c>
      <c r="C24" t="inlineStr">
        <is>
          <t>13:30-13:45</t>
        </is>
      </c>
      <c r="D24" t="n">
        <v>15</v>
      </c>
      <c r="E24" t="n">
        <v>15</v>
      </c>
      <c r="F24">
        <f>D24-E24</f>
        <v/>
      </c>
      <c r="G24" s="2">
        <f>F24/D24</f>
        <v/>
      </c>
      <c r="H24" t="n">
        <v>264</v>
      </c>
      <c r="I24" t="n">
        <v>28</v>
      </c>
      <c r="J24" s="3">
        <f>D24*H24/900</f>
        <v/>
      </c>
      <c r="K24" s="3">
        <f>ROUNDUP(J24+SQRT(J24)*1.5,0)</f>
        <v/>
      </c>
      <c r="L24" s="4">
        <f>J24/K24</f>
        <v/>
      </c>
      <c r="M24" s="3">
        <f>IF(K24&lt;=J24,"Need More Agents",(P24*H24)/(K24-J24))</f>
        <v/>
      </c>
      <c r="N24" s="4">
        <f>IF(K24&lt;=J24,0,1-(P24*EXP(-((K24-J24)*(90/H24)))))</f>
        <v/>
      </c>
      <c r="P24" s="4">
        <f t="array" ref="P24">IF(K24&lt;=J24,"Need More Agents",
  (POWER(K24,J24)/FACT(K24)*(K24/(K24-J24)))/
  (SUMPRODUCT(POWER(J24,ROW(INDIRECT("1:"&amp;K24))-1)/FACT(ROW(INDIRECT("1:"&amp;K24))-1))+
  (POWER(K24,J24)/FACT(K24)*(K24/(K24-J24)))))</f>
        <v/>
      </c>
    </row>
    <row r="25">
      <c r="A25" t="inlineStr">
        <is>
          <t>Monday</t>
        </is>
      </c>
      <c r="B25" s="1" t="n">
        <v>45663</v>
      </c>
      <c r="C25" t="inlineStr">
        <is>
          <t>13:45-14:00</t>
        </is>
      </c>
      <c r="D25" t="n">
        <v>12</v>
      </c>
      <c r="E25" t="n">
        <v>12</v>
      </c>
      <c r="F25">
        <f>D25-E25</f>
        <v/>
      </c>
      <c r="G25" s="2">
        <f>F25/D25</f>
        <v/>
      </c>
      <c r="H25" t="n">
        <v>270</v>
      </c>
      <c r="I25" t="n">
        <v>25</v>
      </c>
      <c r="J25" s="3">
        <f>D25*H25/900</f>
        <v/>
      </c>
      <c r="K25" s="3">
        <f>ROUNDUP(J25+SQRT(J25)*1.5,0)</f>
        <v/>
      </c>
      <c r="L25" s="4">
        <f>J25/K25</f>
        <v/>
      </c>
      <c r="M25" s="3">
        <f>IF(K25&lt;=J25,"Need More Agents",(P25*H25)/(K25-J25))</f>
        <v/>
      </c>
      <c r="N25" s="4">
        <f>IF(K25&lt;=J25,0,1-(P25*EXP(-((K25-J25)*(90/H25)))))</f>
        <v/>
      </c>
      <c r="P25" s="4">
        <f t="array" ref="P25">IF(K25&lt;=J25,"Need More Agents",
  (POWER(K25,J25)/FACT(K25)*(K25/(K25-J25)))/
  (SUMPRODUCT(POWER(J25,ROW(INDIRECT("1:"&amp;K25))-1)/FACT(ROW(INDIRECT("1:"&amp;K25))-1))+
  (POWER(K25,J25)/FACT(K25)*(K25/(K25-J25)))))</f>
        <v/>
      </c>
    </row>
    <row r="26">
      <c r="A26" t="inlineStr">
        <is>
          <t>Monday</t>
        </is>
      </c>
      <c r="B26" s="1" t="n">
        <v>45663</v>
      </c>
      <c r="C26" t="inlineStr">
        <is>
          <t>14:00-14:15</t>
        </is>
      </c>
      <c r="D26" t="n">
        <v>30</v>
      </c>
      <c r="E26" t="n">
        <v>28</v>
      </c>
      <c r="F26">
        <f>D26-E26</f>
        <v/>
      </c>
      <c r="G26" s="2">
        <f>F26/D26</f>
        <v/>
      </c>
      <c r="H26" t="n">
        <v>282</v>
      </c>
      <c r="I26" t="n">
        <v>56</v>
      </c>
      <c r="J26" s="3">
        <f>D26*H26/900</f>
        <v/>
      </c>
      <c r="K26" s="3">
        <f>ROUNDUP(J26+SQRT(J26)*1.5,0)</f>
        <v/>
      </c>
      <c r="L26" s="4">
        <f>J26/K26</f>
        <v/>
      </c>
      <c r="M26" s="3">
        <f>IF(K26&lt;=J26,"Need More Agents",(P26*H26)/(K26-J26))</f>
        <v/>
      </c>
      <c r="N26" s="4">
        <f>IF(K26&lt;=J26,0,1-(P26*EXP(-((K26-J26)*(90/H26)))))</f>
        <v/>
      </c>
      <c r="P26" s="4">
        <f t="array" ref="P26">IF(K26&lt;=J26,"Need More Agents",
  (POWER(K26,J26)/FACT(K26)*(K26/(K26-J26)))/
  (SUMPRODUCT(POWER(J26,ROW(INDIRECT("1:"&amp;K26))-1)/FACT(ROW(INDIRECT("1:"&amp;K26))-1))+
  (POWER(K26,J26)/FACT(K26)*(K26/(K26-J26)))))</f>
        <v/>
      </c>
    </row>
    <row r="27">
      <c r="A27" t="inlineStr">
        <is>
          <t>Monday</t>
        </is>
      </c>
      <c r="B27" s="1" t="n">
        <v>45663</v>
      </c>
      <c r="C27" t="inlineStr">
        <is>
          <t>14:15-14:30</t>
        </is>
      </c>
      <c r="D27" t="n">
        <v>21</v>
      </c>
      <c r="E27" t="n">
        <v>20</v>
      </c>
      <c r="F27">
        <f>D27-E27</f>
        <v/>
      </c>
      <c r="G27" s="2">
        <f>F27/D27</f>
        <v/>
      </c>
      <c r="H27" t="n">
        <v>276</v>
      </c>
      <c r="I27" t="n">
        <v>44</v>
      </c>
      <c r="J27" s="3">
        <f>D27*H27/900</f>
        <v/>
      </c>
      <c r="K27" s="3">
        <f>ROUNDUP(J27+SQRT(J27)*1.5,0)</f>
        <v/>
      </c>
      <c r="L27" s="4">
        <f>J27/K27</f>
        <v/>
      </c>
      <c r="M27" s="3">
        <f>IF(K27&lt;=J27,"Need More Agents",(P27*H27)/(K27-J27))</f>
        <v/>
      </c>
      <c r="N27" s="4">
        <f>IF(K27&lt;=J27,0,1-(P27*EXP(-((K27-J27)*(90/H27)))))</f>
        <v/>
      </c>
      <c r="P27" s="4">
        <f t="array" ref="P27">IF(K27&lt;=J27,"Need More Agents",
  (POWER(K27,J27)/FACT(K27)*(K27/(K27-J27)))/
  (SUMPRODUCT(POWER(J27,ROW(INDIRECT("1:"&amp;K27))-1)/FACT(ROW(INDIRECT("1:"&amp;K27))-1))+
  (POWER(K27,J27)/FACT(K27)*(K27/(K27-J27)))))</f>
        <v/>
      </c>
    </row>
    <row r="28">
      <c r="A28" t="inlineStr">
        <is>
          <t>Monday</t>
        </is>
      </c>
      <c r="B28" s="1" t="n">
        <v>45663</v>
      </c>
      <c r="C28" t="inlineStr">
        <is>
          <t>14:30-14:45</t>
        </is>
      </c>
      <c r="D28" t="n">
        <v>17</v>
      </c>
      <c r="E28" t="n">
        <v>17</v>
      </c>
      <c r="F28">
        <f>D28-E28</f>
        <v/>
      </c>
      <c r="G28" s="2">
        <f>F28/D28</f>
        <v/>
      </c>
      <c r="H28" t="n">
        <v>264</v>
      </c>
      <c r="I28" t="n">
        <v>31</v>
      </c>
      <c r="J28" s="3">
        <f>D28*H28/900</f>
        <v/>
      </c>
      <c r="K28" s="3">
        <f>ROUNDUP(J28+SQRT(J28)*1.5,0)</f>
        <v/>
      </c>
      <c r="L28" s="4">
        <f>J28/K28</f>
        <v/>
      </c>
      <c r="M28" s="3">
        <f>IF(K28&lt;=J28,"Need More Agents",(P28*H28)/(K28-J28))</f>
        <v/>
      </c>
      <c r="N28" s="4">
        <f>IF(K28&lt;=J28,0,1-(P28*EXP(-((K28-J28)*(90/H28)))))</f>
        <v/>
      </c>
      <c r="P28" s="4">
        <f t="array" ref="P28">IF(K28&lt;=J28,"Need More Agents",
  (POWER(K28,J28)/FACT(K28)*(K28/(K28-J28)))/
  (SUMPRODUCT(POWER(J28,ROW(INDIRECT("1:"&amp;K28))-1)/FACT(ROW(INDIRECT("1:"&amp;K28))-1))+
  (POWER(K28,J28)/FACT(K28)*(K28/(K28-J28)))))</f>
        <v/>
      </c>
    </row>
    <row r="29">
      <c r="A29" t="inlineStr">
        <is>
          <t>Monday</t>
        </is>
      </c>
      <c r="B29" s="1" t="n">
        <v>45663</v>
      </c>
      <c r="C29" t="inlineStr">
        <is>
          <t>14:45-15:00</t>
        </is>
      </c>
      <c r="D29" t="n">
        <v>14</v>
      </c>
      <c r="E29" t="n">
        <v>14</v>
      </c>
      <c r="F29">
        <f>D29-E29</f>
        <v/>
      </c>
      <c r="G29" s="2">
        <f>F29/D29</f>
        <v/>
      </c>
      <c r="H29" t="n">
        <v>270</v>
      </c>
      <c r="I29" t="n">
        <v>27</v>
      </c>
      <c r="J29" s="3">
        <f>D29*H29/900</f>
        <v/>
      </c>
      <c r="K29" s="3">
        <f>ROUNDUP(J29+SQRT(J29)*1.5,0)</f>
        <v/>
      </c>
      <c r="L29" s="4">
        <f>J29/K29</f>
        <v/>
      </c>
      <c r="M29" s="3">
        <f>IF(K29&lt;=J29,"Need More Agents",(P29*H29)/(K29-J29))</f>
        <v/>
      </c>
      <c r="N29" s="4">
        <f>IF(K29&lt;=J29,0,1-(P29*EXP(-((K29-J29)*(90/H29)))))</f>
        <v/>
      </c>
      <c r="P29" s="4">
        <f t="array" ref="P29">IF(K29&lt;=J29,"Need More Agents",
  (POWER(K29,J29)/FACT(K29)*(K29/(K29-J29)))/
  (SUMPRODUCT(POWER(J29,ROW(INDIRECT("1:"&amp;K29))-1)/FACT(ROW(INDIRECT("1:"&amp;K29))-1))+
  (POWER(K29,J29)/FACT(K29)*(K29/(K29-J29)))))</f>
        <v/>
      </c>
    </row>
    <row r="30">
      <c r="A30" t="inlineStr">
        <is>
          <t>Monday</t>
        </is>
      </c>
      <c r="B30" s="1" t="n">
        <v>45663</v>
      </c>
      <c r="C30" t="inlineStr">
        <is>
          <t>15:00-15:15</t>
        </is>
      </c>
      <c r="D30" t="n">
        <v>24</v>
      </c>
      <c r="E30" t="n">
        <v>23</v>
      </c>
      <c r="F30">
        <f>D30-E30</f>
        <v/>
      </c>
      <c r="G30" s="2">
        <f>F30/D30</f>
        <v/>
      </c>
      <c r="H30" t="n">
        <v>270</v>
      </c>
      <c r="I30" t="n">
        <v>42</v>
      </c>
      <c r="J30" s="3">
        <f>D30*H30/900</f>
        <v/>
      </c>
      <c r="K30" s="3">
        <f>ROUNDUP(J30+SQRT(J30)*1.5,0)</f>
        <v/>
      </c>
      <c r="L30" s="4">
        <f>J30/K30</f>
        <v/>
      </c>
      <c r="M30" s="3">
        <f>IF(K30&lt;=J30,"Need More Agents",(P30*H30)/(K30-J30))</f>
        <v/>
      </c>
      <c r="N30" s="4">
        <f>IF(K30&lt;=J30,0,1-(P30*EXP(-((K30-J30)*(90/H30)))))</f>
        <v/>
      </c>
      <c r="P30" s="4">
        <f t="array" ref="P30">IF(K30&lt;=J30,"Need More Agents",
  (POWER(K30,J30)/FACT(K30)*(K30/(K30-J30)))/
  (SUMPRODUCT(POWER(J30,ROW(INDIRECT("1:"&amp;K30))-1)/FACT(ROW(INDIRECT("1:"&amp;K30))-1))+
  (POWER(K30,J30)/FACT(K30)*(K30/(K30-J30)))))</f>
        <v/>
      </c>
    </row>
    <row r="31">
      <c r="A31" t="inlineStr">
        <is>
          <t>Monday</t>
        </is>
      </c>
      <c r="B31" s="1" t="n">
        <v>45663</v>
      </c>
      <c r="C31" t="inlineStr">
        <is>
          <t>15:15-15:30</t>
        </is>
      </c>
      <c r="D31" t="n">
        <v>17</v>
      </c>
      <c r="E31" t="n">
        <v>17</v>
      </c>
      <c r="F31">
        <f>D31-E31</f>
        <v/>
      </c>
      <c r="G31" s="2">
        <f>F31/D31</f>
        <v/>
      </c>
      <c r="H31" t="n">
        <v>264</v>
      </c>
      <c r="I31" t="n">
        <v>31</v>
      </c>
      <c r="J31" s="3">
        <f>D31*H31/900</f>
        <v/>
      </c>
      <c r="K31" s="3">
        <f>ROUNDUP(J31+SQRT(J31)*1.5,0)</f>
        <v/>
      </c>
      <c r="L31" s="4">
        <f>J31/K31</f>
        <v/>
      </c>
      <c r="M31" s="3">
        <f>IF(K31&lt;=J31,"Need More Agents",(P31*H31)/(K31-J31))</f>
        <v/>
      </c>
      <c r="N31" s="4">
        <f>IF(K31&lt;=J31,0,1-(P31*EXP(-((K31-J31)*(90/H31)))))</f>
        <v/>
      </c>
      <c r="P31" s="4">
        <f t="array" ref="P31">IF(K31&lt;=J31,"Need More Agents",
  (POWER(K31,J31)/FACT(K31)*(K31/(K31-J31)))/
  (SUMPRODUCT(POWER(J31,ROW(INDIRECT("1:"&amp;K31))-1)/FACT(ROW(INDIRECT("1:"&amp;K31))-1))+
  (POWER(K31,J31)/FACT(K31)*(K31/(K31-J31)))))</f>
        <v/>
      </c>
    </row>
    <row r="32">
      <c r="A32" t="inlineStr">
        <is>
          <t>Monday</t>
        </is>
      </c>
      <c r="B32" s="1" t="n">
        <v>45663</v>
      </c>
      <c r="C32" t="inlineStr">
        <is>
          <t>15:30-15:45</t>
        </is>
      </c>
      <c r="D32" t="n">
        <v>14</v>
      </c>
      <c r="E32" t="n">
        <v>14</v>
      </c>
      <c r="F32">
        <f>D32-E32</f>
        <v/>
      </c>
      <c r="G32" s="2">
        <f>F32/D32</f>
        <v/>
      </c>
      <c r="H32" t="n">
        <v>270</v>
      </c>
      <c r="I32" t="n">
        <v>27</v>
      </c>
      <c r="J32" s="3">
        <f>D32*H32/900</f>
        <v/>
      </c>
      <c r="K32" s="3">
        <f>ROUNDUP(J32+SQRT(J32)*1.5,0)</f>
        <v/>
      </c>
      <c r="L32" s="4">
        <f>J32/K32</f>
        <v/>
      </c>
      <c r="M32" s="3">
        <f>IF(K32&lt;=J32,"Need More Agents",(P32*H32)/(K32-J32))</f>
        <v/>
      </c>
      <c r="N32" s="4">
        <f>IF(K32&lt;=J32,0,1-(P32*EXP(-((K32-J32)*(90/H32)))))</f>
        <v/>
      </c>
      <c r="P32" s="4">
        <f t="array" ref="P32">IF(K32&lt;=J32,"Need More Agents",
  (POWER(K32,J32)/FACT(K32)*(K32/(K32-J32)))/
  (SUMPRODUCT(POWER(J32,ROW(INDIRECT("1:"&amp;K32))-1)/FACT(ROW(INDIRECT("1:"&amp;K32))-1))+
  (POWER(K32,J32)/FACT(K32)*(K32/(K32-J32)))))</f>
        <v/>
      </c>
    </row>
    <row r="33">
      <c r="A33" t="inlineStr">
        <is>
          <t>Monday</t>
        </is>
      </c>
      <c r="B33" s="1" t="n">
        <v>45663</v>
      </c>
      <c r="C33" t="inlineStr">
        <is>
          <t>15:45-16:00</t>
        </is>
      </c>
      <c r="D33" t="n">
        <v>11</v>
      </c>
      <c r="E33" t="n">
        <v>11</v>
      </c>
      <c r="F33">
        <f>D33-E33</f>
        <v/>
      </c>
      <c r="G33" s="2">
        <f>F33/D33</f>
        <v/>
      </c>
      <c r="H33" t="n">
        <v>264</v>
      </c>
      <c r="I33" t="n">
        <v>24</v>
      </c>
      <c r="J33" s="3">
        <f>D33*H33/900</f>
        <v/>
      </c>
      <c r="K33" s="3">
        <f>ROUNDUP(J33+SQRT(J33)*1.5,0)</f>
        <v/>
      </c>
      <c r="L33" s="4">
        <f>J33/K33</f>
        <v/>
      </c>
      <c r="M33" s="3">
        <f>IF(K33&lt;=J33,"Need More Agents",(P33*H33)/(K33-J33))</f>
        <v/>
      </c>
      <c r="N33" s="4">
        <f>IF(K33&lt;=J33,0,1-(P33*EXP(-((K33-J33)*(90/H33)))))</f>
        <v/>
      </c>
      <c r="P33" s="4">
        <f t="array" ref="P33">IF(K33&lt;=J33,"Need More Agents",
  (POWER(K33,J33)/FACT(K33)*(K33/(K33-J33)))/
  (SUMPRODUCT(POWER(J33,ROW(INDIRECT("1:"&amp;K33))-1)/FACT(ROW(INDIRECT("1:"&amp;K33))-1))+
  (POWER(K33,J33)/FACT(K33)*(K33/(K33-J33)))))</f>
        <v/>
      </c>
    </row>
    <row r="34">
      <c r="A34" t="inlineStr">
        <is>
          <t>Monday</t>
        </is>
      </c>
      <c r="B34" s="1" t="n">
        <v>45663</v>
      </c>
      <c r="C34" t="inlineStr">
        <is>
          <t>16:00-16:15</t>
        </is>
      </c>
      <c r="D34" t="n">
        <v>20</v>
      </c>
      <c r="E34" t="n">
        <v>19</v>
      </c>
      <c r="F34">
        <f>D34-E34</f>
        <v/>
      </c>
      <c r="G34" s="2">
        <f>F34/D34</f>
        <v/>
      </c>
      <c r="H34" t="n">
        <v>276</v>
      </c>
      <c r="I34" t="n">
        <v>46</v>
      </c>
      <c r="J34" s="3">
        <f>D34*H34/900</f>
        <v/>
      </c>
      <c r="K34" s="3">
        <f>ROUNDUP(J34+SQRT(J34)*1.5,0)</f>
        <v/>
      </c>
      <c r="L34" s="4">
        <f>J34/K34</f>
        <v/>
      </c>
      <c r="M34" s="3">
        <f>IF(K34&lt;=J34,"Need More Agents",(P34*H34)/(K34-J34))</f>
        <v/>
      </c>
      <c r="N34" s="4">
        <f>IF(K34&lt;=J34,0,1-(P34*EXP(-((K34-J34)*(90/H34)))))</f>
        <v/>
      </c>
      <c r="P34" s="4">
        <f t="array" ref="P34">IF(K34&lt;=J34,"Need More Agents",
  (POWER(K34,J34)/FACT(K34)*(K34/(K34-J34)))/
  (SUMPRODUCT(POWER(J34,ROW(INDIRECT("1:"&amp;K34))-1)/FACT(ROW(INDIRECT("1:"&amp;K34))-1))+
  (POWER(K34,J34)/FACT(K34)*(K34/(K34-J34)))))</f>
        <v/>
      </c>
    </row>
    <row r="35">
      <c r="A35" t="inlineStr">
        <is>
          <t>Monday</t>
        </is>
      </c>
      <c r="B35" s="1" t="n">
        <v>45663</v>
      </c>
      <c r="C35" t="inlineStr">
        <is>
          <t>16:15-16:30</t>
        </is>
      </c>
      <c r="D35" t="n">
        <v>14</v>
      </c>
      <c r="E35" t="n">
        <v>14</v>
      </c>
      <c r="F35">
        <f>D35-E35</f>
        <v/>
      </c>
      <c r="G35" s="2">
        <f>F35/D35</f>
        <v/>
      </c>
      <c r="H35" t="n">
        <v>270</v>
      </c>
      <c r="I35" t="n">
        <v>27</v>
      </c>
      <c r="J35" s="3">
        <f>D35*H35/900</f>
        <v/>
      </c>
      <c r="K35" s="3">
        <f>ROUNDUP(J35+SQRT(J35)*1.5,0)</f>
        <v/>
      </c>
      <c r="L35" s="4">
        <f>J35/K35</f>
        <v/>
      </c>
      <c r="M35" s="3">
        <f>IF(K35&lt;=J35,"Need More Agents",(P35*H35)/(K35-J35))</f>
        <v/>
      </c>
      <c r="N35" s="4">
        <f>IF(K35&lt;=J35,0,1-(P35*EXP(-((K35-J35)*(90/H35)))))</f>
        <v/>
      </c>
      <c r="P35" s="4">
        <f t="array" ref="P35">IF(K35&lt;=J35,"Need More Agents",
  (POWER(K35,J35)/FACT(K35)*(K35/(K35-J35)))/
  (SUMPRODUCT(POWER(J35,ROW(INDIRECT("1:"&amp;K35))-1)/FACT(ROW(INDIRECT("1:"&amp;K35))-1))+
  (POWER(K35,J35)/FACT(K35)*(K35/(K35-J35)))))</f>
        <v/>
      </c>
    </row>
    <row r="36">
      <c r="A36" t="inlineStr">
        <is>
          <t>Monday</t>
        </is>
      </c>
      <c r="B36" s="1" t="n">
        <v>45663</v>
      </c>
      <c r="C36" t="inlineStr">
        <is>
          <t>16:30-16:45</t>
        </is>
      </c>
      <c r="D36" t="n">
        <v>11</v>
      </c>
      <c r="E36" t="n">
        <v>11</v>
      </c>
      <c r="F36">
        <f>D36-E36</f>
        <v/>
      </c>
      <c r="G36" s="2">
        <f>F36/D36</f>
        <v/>
      </c>
      <c r="H36" t="n">
        <v>264</v>
      </c>
      <c r="I36" t="n">
        <v>24</v>
      </c>
      <c r="J36" s="3">
        <f>D36*H36/900</f>
        <v/>
      </c>
      <c r="K36" s="3">
        <f>ROUNDUP(J36+SQRT(J36)*1.5,0)</f>
        <v/>
      </c>
      <c r="L36" s="4">
        <f>J36/K36</f>
        <v/>
      </c>
      <c r="M36" s="3">
        <f>IF(K36&lt;=J36,"Need More Agents",(P36*H36)/(K36-J36))</f>
        <v/>
      </c>
      <c r="N36" s="4">
        <f>IF(K36&lt;=J36,0,1-(P36*EXP(-((K36-J36)*(90/H36)))))</f>
        <v/>
      </c>
      <c r="P36" s="4">
        <f t="array" ref="P36">IF(K36&lt;=J36,"Need More Agents",
  (POWER(K36,J36)/FACT(K36)*(K36/(K36-J36)))/
  (SUMPRODUCT(POWER(J36,ROW(INDIRECT("1:"&amp;K36))-1)/FACT(ROW(INDIRECT("1:"&amp;K36))-1))+
  (POWER(K36,J36)/FACT(K36)*(K36/(K36-J36)))))</f>
        <v/>
      </c>
    </row>
    <row r="37">
      <c r="A37" t="inlineStr">
        <is>
          <t>Monday</t>
        </is>
      </c>
      <c r="B37" s="1" t="n">
        <v>45663</v>
      </c>
      <c r="C37" t="inlineStr">
        <is>
          <t>16:45-17:00</t>
        </is>
      </c>
      <c r="D37" t="n">
        <v>9</v>
      </c>
      <c r="E37" t="n">
        <v>9</v>
      </c>
      <c r="F37">
        <f>D37-E37</f>
        <v/>
      </c>
      <c r="G37" s="2">
        <f>F37/D37</f>
        <v/>
      </c>
      <c r="H37" t="n">
        <v>270</v>
      </c>
      <c r="I37" t="n">
        <v>22</v>
      </c>
      <c r="J37" s="3">
        <f>D37*H37/900</f>
        <v/>
      </c>
      <c r="K37" s="3">
        <f>ROUNDUP(J37+SQRT(J37)*1.5,0)</f>
        <v/>
      </c>
      <c r="L37" s="4">
        <f>J37/K37</f>
        <v/>
      </c>
      <c r="M37" s="3">
        <f>IF(K37&lt;=J37,"Need More Agents",(P37*H37)/(K37-J37))</f>
        <v/>
      </c>
      <c r="N37" s="4">
        <f>IF(K37&lt;=J37,0,1-(P37*EXP(-((K37-J37)*(90/H37)))))</f>
        <v/>
      </c>
      <c r="P37" s="4">
        <f t="array" ref="P37">IF(K37&lt;=J37,"Need More Agents",
  (POWER(K37,J37)/FACT(K37)*(K37/(K37-J37)))/
  (SUMPRODUCT(POWER(J37,ROW(INDIRECT("1:"&amp;K37))-1)/FACT(ROW(INDIRECT("1:"&amp;K37))-1))+
  (POWER(K37,J37)/FACT(K37)*(K37/(K37-J37)))))</f>
        <v/>
      </c>
    </row>
    <row r="38">
      <c r="A38" t="inlineStr">
        <is>
          <t>Tuesday</t>
        </is>
      </c>
      <c r="B38" s="1" t="n">
        <v>45664</v>
      </c>
      <c r="C38" t="inlineStr">
        <is>
          <t>08:00-08:15</t>
        </is>
      </c>
      <c r="D38" t="n">
        <v>15</v>
      </c>
      <c r="E38" t="n">
        <v>14</v>
      </c>
      <c r="F38">
        <f>D38-E38</f>
        <v/>
      </c>
      <c r="G38" s="2">
        <f>F38/D38</f>
        <v/>
      </c>
      <c r="H38" t="n">
        <v>264</v>
      </c>
      <c r="I38" t="n">
        <v>50</v>
      </c>
      <c r="J38" s="3">
        <f>D38*H38/900</f>
        <v/>
      </c>
      <c r="K38" s="3">
        <f>ROUNDUP(J38+SQRT(J38)*1.5,0)</f>
        <v/>
      </c>
      <c r="L38" s="4">
        <f>J38/K38</f>
        <v/>
      </c>
      <c r="M38" s="3">
        <f>IF(K38&lt;=J38,"Need More Agents",(P38*H38)/(K38-J38))</f>
        <v/>
      </c>
      <c r="N38" s="4">
        <f>IF(K38&lt;=J38,0,1-(P38*EXP(-((K38-J38)*(90/H38)))))</f>
        <v/>
      </c>
      <c r="P38" s="4">
        <f t="array" ref="P38">IF(K38&lt;=J38,"Need More Agents",
  (POWER(K38,J38)/FACT(K38)*(K38/(K38-J38)))/
  (SUMPRODUCT(POWER(J38,ROW(INDIRECT("1:"&amp;K38))-1)/FACT(ROW(INDIRECT("1:"&amp;K38))-1))+
  (POWER(K38,J38)/FACT(K38)*(K38/(K38-J38)))))</f>
        <v/>
      </c>
    </row>
    <row r="39">
      <c r="A39" t="inlineStr">
        <is>
          <t>Tuesday</t>
        </is>
      </c>
      <c r="B39" s="1" t="n">
        <v>45664</v>
      </c>
      <c r="C39" t="inlineStr">
        <is>
          <t>08:15-08:30</t>
        </is>
      </c>
      <c r="D39" t="n">
        <v>11</v>
      </c>
      <c r="E39" t="n">
        <v>11</v>
      </c>
      <c r="F39">
        <f>D39-E39</f>
        <v/>
      </c>
      <c r="G39" s="2">
        <f>F39/D39</f>
        <v/>
      </c>
      <c r="H39" t="n">
        <v>270</v>
      </c>
      <c r="I39" t="n">
        <v>26</v>
      </c>
      <c r="J39" s="3">
        <f>D39*H39/900</f>
        <v/>
      </c>
      <c r="K39" s="3">
        <f>ROUNDUP(J39+SQRT(J39)*1.5,0)</f>
        <v/>
      </c>
      <c r="L39" s="4">
        <f>J39/K39</f>
        <v/>
      </c>
      <c r="M39" s="3">
        <f>IF(K39&lt;=J39,"Need More Agents",(P39*H39)/(K39-J39))</f>
        <v/>
      </c>
      <c r="N39" s="4">
        <f>IF(K39&lt;=J39,0,1-(P39*EXP(-((K39-J39)*(90/H39)))))</f>
        <v/>
      </c>
      <c r="P39" s="4">
        <f t="array" ref="P39">IF(K39&lt;=J39,"Need More Agents",
  (POWER(K39,J39)/FACT(K39)*(K39/(K39-J39)))/
  (SUMPRODUCT(POWER(J39,ROW(INDIRECT("1:"&amp;K39))-1)/FACT(ROW(INDIRECT("1:"&amp;K39))-1))+
  (POWER(K39,J39)/FACT(K39)*(K39/(K39-J39)))))</f>
        <v/>
      </c>
    </row>
    <row r="40">
      <c r="A40" t="inlineStr">
        <is>
          <t>Tuesday</t>
        </is>
      </c>
      <c r="B40" s="1" t="n">
        <v>45664</v>
      </c>
      <c r="C40" t="inlineStr">
        <is>
          <t>08:30-08:45</t>
        </is>
      </c>
      <c r="D40" t="n">
        <v>9</v>
      </c>
      <c r="E40" t="n">
        <v>9</v>
      </c>
      <c r="F40">
        <f>D40-E40</f>
        <v/>
      </c>
      <c r="G40" s="2">
        <f>F40/D40</f>
        <v/>
      </c>
      <c r="H40" t="n">
        <v>264</v>
      </c>
      <c r="I40" t="n">
        <v>22</v>
      </c>
      <c r="J40" s="3">
        <f>D40*H40/900</f>
        <v/>
      </c>
      <c r="K40" s="3">
        <f>ROUNDUP(J40+SQRT(J40)*1.5,0)</f>
        <v/>
      </c>
      <c r="L40" s="4">
        <f>J40/K40</f>
        <v/>
      </c>
      <c r="M40" s="3">
        <f>IF(K40&lt;=J40,"Need More Agents",(P40*H40)/(K40-J40))</f>
        <v/>
      </c>
      <c r="N40" s="4">
        <f>IF(K40&lt;=J40,0,1-(P40*EXP(-((K40-J40)*(90/H40)))))</f>
        <v/>
      </c>
      <c r="P40" s="4">
        <f t="array" ref="P40">IF(K40&lt;=J40,"Need More Agents",
  (POWER(K40,J40)/FACT(K40)*(K40/(K40-J40)))/
  (SUMPRODUCT(POWER(J40,ROW(INDIRECT("1:"&amp;K40))-1)/FACT(ROW(INDIRECT("1:"&amp;K40))-1))+
  (POWER(K40,J40)/FACT(K40)*(K40/(K40-J40)))))</f>
        <v/>
      </c>
    </row>
    <row r="41">
      <c r="A41" t="inlineStr">
        <is>
          <t>Tuesday</t>
        </is>
      </c>
      <c r="B41" s="1" t="n">
        <v>45664</v>
      </c>
      <c r="C41" t="inlineStr">
        <is>
          <t>08:45-09:00</t>
        </is>
      </c>
      <c r="D41" t="n">
        <v>7</v>
      </c>
      <c r="E41" t="n">
        <v>7</v>
      </c>
      <c r="F41">
        <f>D41-E41</f>
        <v/>
      </c>
      <c r="G41" s="2">
        <f>F41/D41</f>
        <v/>
      </c>
      <c r="H41" t="n">
        <v>276</v>
      </c>
      <c r="I41" t="n">
        <v>20</v>
      </c>
      <c r="J41" s="3">
        <f>D41*H41/900</f>
        <v/>
      </c>
      <c r="K41" s="3">
        <f>ROUNDUP(J41+SQRT(J41)*1.5,0)</f>
        <v/>
      </c>
      <c r="L41" s="4">
        <f>J41/K41</f>
        <v/>
      </c>
      <c r="M41" s="3">
        <f>IF(K41&lt;=J41,"Need More Agents",(P41*H41)/(K41-J41))</f>
        <v/>
      </c>
      <c r="N41" s="4">
        <f>IF(K41&lt;=J41,0,1-(P41*EXP(-((K41-J41)*(90/H41)))))</f>
        <v/>
      </c>
      <c r="P41" s="4">
        <f t="array" ref="P41">IF(K41&lt;=J41,"Need More Agents",
  (POWER(K41,J41)/FACT(K41)*(K41/(K41-J41)))/
  (SUMPRODUCT(POWER(J41,ROW(INDIRECT("1:"&amp;K41))-1)/FACT(ROW(INDIRECT("1:"&amp;K41))-1))+
  (POWER(K41,J41)/FACT(K41)*(K41/(K41-J41)))))</f>
        <v/>
      </c>
    </row>
    <row r="42">
      <c r="A42" t="inlineStr">
        <is>
          <t>Tuesday</t>
        </is>
      </c>
      <c r="B42" s="1" t="n">
        <v>45664</v>
      </c>
      <c r="C42" t="inlineStr">
        <is>
          <t>09:00-09:15</t>
        </is>
      </c>
      <c r="D42" t="n">
        <v>23</v>
      </c>
      <c r="E42" t="n">
        <v>22</v>
      </c>
      <c r="F42">
        <f>D42-E42</f>
        <v/>
      </c>
      <c r="G42" s="2">
        <f>F42/D42</f>
        <v/>
      </c>
      <c r="H42" t="n">
        <v>270</v>
      </c>
      <c r="I42" t="n">
        <v>44</v>
      </c>
      <c r="J42" s="3">
        <f>D42*H42/900</f>
        <v/>
      </c>
      <c r="K42" s="3">
        <f>ROUNDUP(J42+SQRT(J42)*1.5,0)</f>
        <v/>
      </c>
      <c r="L42" s="4">
        <f>J42/K42</f>
        <v/>
      </c>
      <c r="M42" s="3">
        <f>IF(K42&lt;=J42,"Need More Agents",(P42*H42)/(K42-J42))</f>
        <v/>
      </c>
      <c r="N42" s="4">
        <f>IF(K42&lt;=J42,0,1-(P42*EXP(-((K42-J42)*(90/H42)))))</f>
        <v/>
      </c>
      <c r="P42" s="4">
        <f t="array" ref="P42">IF(K42&lt;=J42,"Need More Agents",
  (POWER(K42,J42)/FACT(K42)*(K42/(K42-J42)))/
  (SUMPRODUCT(POWER(J42,ROW(INDIRECT("1:"&amp;K42))-1)/FACT(ROW(INDIRECT("1:"&amp;K42))-1))+
  (POWER(K42,J42)/FACT(K42)*(K42/(K42-J42)))))</f>
        <v/>
      </c>
    </row>
    <row r="43">
      <c r="A43" t="inlineStr">
        <is>
          <t>Tuesday</t>
        </is>
      </c>
      <c r="B43" s="1" t="n">
        <v>45664</v>
      </c>
      <c r="C43" t="inlineStr">
        <is>
          <t>09:15-09:30</t>
        </is>
      </c>
      <c r="D43" t="n">
        <v>16</v>
      </c>
      <c r="E43" t="n">
        <v>16</v>
      </c>
      <c r="F43">
        <f>D43-E43</f>
        <v/>
      </c>
      <c r="G43" s="2">
        <f>F43/D43</f>
        <v/>
      </c>
      <c r="H43" t="n">
        <v>264</v>
      </c>
      <c r="I43" t="n">
        <v>30</v>
      </c>
      <c r="J43" s="3">
        <f>D43*H43/900</f>
        <v/>
      </c>
      <c r="K43" s="3">
        <f>ROUNDUP(J43+SQRT(J43)*1.5,0)</f>
        <v/>
      </c>
      <c r="L43" s="4">
        <f>J43/K43</f>
        <v/>
      </c>
      <c r="M43" s="3">
        <f>IF(K43&lt;=J43,"Need More Agents",(P43*H43)/(K43-J43))</f>
        <v/>
      </c>
      <c r="N43" s="4">
        <f>IF(K43&lt;=J43,0,1-(P43*EXP(-((K43-J43)*(90/H43)))))</f>
        <v/>
      </c>
      <c r="P43" s="4">
        <f t="array" ref="P43">IF(K43&lt;=J43,"Need More Agents",
  (POWER(K43,J43)/FACT(K43)*(K43/(K43-J43)))/
  (SUMPRODUCT(POWER(J43,ROW(INDIRECT("1:"&amp;K43))-1)/FACT(ROW(INDIRECT("1:"&amp;K43))-1))+
  (POWER(K43,J43)/FACT(K43)*(K43/(K43-J43)))))</f>
        <v/>
      </c>
    </row>
    <row r="44">
      <c r="A44" t="inlineStr">
        <is>
          <t>Tuesday</t>
        </is>
      </c>
      <c r="B44" s="1" t="n">
        <v>45664</v>
      </c>
      <c r="C44" t="inlineStr">
        <is>
          <t>09:30-09:45</t>
        </is>
      </c>
      <c r="D44" t="n">
        <v>13</v>
      </c>
      <c r="E44" t="n">
        <v>13</v>
      </c>
      <c r="F44">
        <f>D44-E44</f>
        <v/>
      </c>
      <c r="G44" s="2">
        <f>F44/D44</f>
        <v/>
      </c>
      <c r="H44" t="n">
        <v>270</v>
      </c>
      <c r="I44" t="n">
        <v>27</v>
      </c>
      <c r="J44" s="3">
        <f>D44*H44/900</f>
        <v/>
      </c>
      <c r="K44" s="3">
        <f>ROUNDUP(J44+SQRT(J44)*1.5,0)</f>
        <v/>
      </c>
      <c r="L44" s="4">
        <f>J44/K44</f>
        <v/>
      </c>
      <c r="M44" s="3">
        <f>IF(K44&lt;=J44,"Need More Agents",(P44*H44)/(K44-J44))</f>
        <v/>
      </c>
      <c r="N44" s="4">
        <f>IF(K44&lt;=J44,0,1-(P44*EXP(-((K44-J44)*(90/H44)))))</f>
        <v/>
      </c>
      <c r="P44" s="4">
        <f t="array" ref="P44">IF(K44&lt;=J44,"Need More Agents",
  (POWER(K44,J44)/FACT(K44)*(K44/(K44-J44)))/
  (SUMPRODUCT(POWER(J44,ROW(INDIRECT("1:"&amp;K44))-1)/FACT(ROW(INDIRECT("1:"&amp;K44))-1))+
  (POWER(K44,J44)/FACT(K44)*(K44/(K44-J44)))))</f>
        <v/>
      </c>
    </row>
    <row r="45">
      <c r="A45" t="inlineStr">
        <is>
          <t>Tuesday</t>
        </is>
      </c>
      <c r="B45" s="1" t="n">
        <v>45664</v>
      </c>
      <c r="C45" t="inlineStr">
        <is>
          <t>09:45-10:00</t>
        </is>
      </c>
      <c r="D45" t="n">
        <v>11</v>
      </c>
      <c r="E45" t="n">
        <v>11</v>
      </c>
      <c r="F45">
        <f>D45-E45</f>
        <v/>
      </c>
      <c r="G45" s="2">
        <f>F45/D45</f>
        <v/>
      </c>
      <c r="H45" t="n">
        <v>264</v>
      </c>
      <c r="I45" t="n">
        <v>24</v>
      </c>
      <c r="J45" s="3">
        <f>D45*H45/900</f>
        <v/>
      </c>
      <c r="K45" s="3">
        <f>ROUNDUP(J45+SQRT(J45)*1.5,0)</f>
        <v/>
      </c>
      <c r="L45" s="4">
        <f>J45/K45</f>
        <v/>
      </c>
      <c r="M45" s="3">
        <f>IF(K45&lt;=J45,"Need More Agents",(P45*H45)/(K45-J45))</f>
        <v/>
      </c>
      <c r="N45" s="4">
        <f>IF(K45&lt;=J45,0,1-(P45*EXP(-((K45-J45)*(90/H45)))))</f>
        <v/>
      </c>
      <c r="P45" s="4">
        <f t="array" ref="P45">IF(K45&lt;=J45,"Need More Agents",
  (POWER(K45,J45)/FACT(K45)*(K45/(K45-J45)))/
  (SUMPRODUCT(POWER(J45,ROW(INDIRECT("1:"&amp;K45))-1)/FACT(ROW(INDIRECT("1:"&amp;K45))-1))+
  (POWER(K45,J45)/FACT(K45)*(K45/(K45-J45)))))</f>
        <v/>
      </c>
    </row>
    <row r="46">
      <c r="A46" t="inlineStr">
        <is>
          <t>Tuesday</t>
        </is>
      </c>
      <c r="B46" s="1" t="n">
        <v>45664</v>
      </c>
      <c r="C46" t="inlineStr">
        <is>
          <t>10:00-10:15</t>
        </is>
      </c>
      <c r="D46" t="n">
        <v>29</v>
      </c>
      <c r="E46" t="n">
        <v>27</v>
      </c>
      <c r="F46">
        <f>D46-E46</f>
        <v/>
      </c>
      <c r="G46" s="2">
        <f>F46/D46</f>
        <v/>
      </c>
      <c r="H46" t="n">
        <v>276</v>
      </c>
      <c r="I46" t="n">
        <v>54</v>
      </c>
      <c r="J46" s="3">
        <f>D46*H46/900</f>
        <v/>
      </c>
      <c r="K46" s="3">
        <f>ROUNDUP(J46+SQRT(J46)*1.5,0)</f>
        <v/>
      </c>
      <c r="L46" s="4">
        <f>J46/K46</f>
        <v/>
      </c>
      <c r="M46" s="3">
        <f>IF(K46&lt;=J46,"Need More Agents",(P46*H46)/(K46-J46))</f>
        <v/>
      </c>
      <c r="N46" s="4">
        <f>IF(K46&lt;=J46,0,1-(P46*EXP(-((K46-J46)*(90/H46)))))</f>
        <v/>
      </c>
      <c r="P46" s="4">
        <f t="array" ref="P46">IF(K46&lt;=J46,"Need More Agents",
  (POWER(K46,J46)/FACT(K46)*(K46/(K46-J46)))/
  (SUMPRODUCT(POWER(J46,ROW(INDIRECT("1:"&amp;K46))-1)/FACT(ROW(INDIRECT("1:"&amp;K46))-1))+
  (POWER(K46,J46)/FACT(K46)*(K46/(K46-J46)))))</f>
        <v/>
      </c>
    </row>
    <row r="47">
      <c r="A47" t="inlineStr">
        <is>
          <t>Tuesday</t>
        </is>
      </c>
      <c r="B47" s="1" t="n">
        <v>45664</v>
      </c>
      <c r="C47" t="inlineStr">
        <is>
          <t>10:15-10:30</t>
        </is>
      </c>
      <c r="D47" t="n">
        <v>20</v>
      </c>
      <c r="E47" t="n">
        <v>20</v>
      </c>
      <c r="F47">
        <f>D47-E47</f>
        <v/>
      </c>
      <c r="G47" s="2">
        <f>F47/D47</f>
        <v/>
      </c>
      <c r="H47" t="n">
        <v>270</v>
      </c>
      <c r="I47" t="n">
        <v>34</v>
      </c>
      <c r="J47" s="3">
        <f>D47*H47/900</f>
        <v/>
      </c>
      <c r="K47" s="3">
        <f>ROUNDUP(J47+SQRT(J47)*1.5,0)</f>
        <v/>
      </c>
      <c r="L47" s="4">
        <f>J47/K47</f>
        <v/>
      </c>
      <c r="M47" s="3">
        <f>IF(K47&lt;=J47,"Need More Agents",(P47*H47)/(K47-J47))</f>
        <v/>
      </c>
      <c r="N47" s="4">
        <f>IF(K47&lt;=J47,0,1-(P47*EXP(-((K47-J47)*(90/H47)))))</f>
        <v/>
      </c>
      <c r="P47" s="4">
        <f t="array" ref="P47">IF(K47&lt;=J47,"Need More Agents",
  (POWER(K47,J47)/FACT(K47)*(K47/(K47-J47)))/
  (SUMPRODUCT(POWER(J47,ROW(INDIRECT("1:"&amp;K47))-1)/FACT(ROW(INDIRECT("1:"&amp;K47))-1))+
  (POWER(K47,J47)/FACT(K47)*(K47/(K47-J47)))))</f>
        <v/>
      </c>
    </row>
    <row r="48">
      <c r="A48" t="inlineStr">
        <is>
          <t>Tuesday</t>
        </is>
      </c>
      <c r="B48" s="1" t="n">
        <v>45664</v>
      </c>
      <c r="C48" t="inlineStr">
        <is>
          <t>10:30-10:45</t>
        </is>
      </c>
      <c r="D48" t="n">
        <v>16</v>
      </c>
      <c r="E48" t="n">
        <v>16</v>
      </c>
      <c r="F48">
        <f>D48-E48</f>
        <v/>
      </c>
      <c r="G48" s="2">
        <f>F48/D48</f>
        <v/>
      </c>
      <c r="H48" t="n">
        <v>264</v>
      </c>
      <c r="I48" t="n">
        <v>30</v>
      </c>
      <c r="J48" s="3">
        <f>D48*H48/900</f>
        <v/>
      </c>
      <c r="K48" s="3">
        <f>ROUNDUP(J48+SQRT(J48)*1.5,0)</f>
        <v/>
      </c>
      <c r="L48" s="4">
        <f>J48/K48</f>
        <v/>
      </c>
      <c r="M48" s="3">
        <f>IF(K48&lt;=J48,"Need More Agents",(P48*H48)/(K48-J48))</f>
        <v/>
      </c>
      <c r="N48" s="4">
        <f>IF(K48&lt;=J48,0,1-(P48*EXP(-((K48-J48)*(90/H48)))))</f>
        <v/>
      </c>
      <c r="P48" s="4">
        <f t="array" ref="P48">IF(K48&lt;=J48,"Need More Agents",
  (POWER(K48,J48)/FACT(K48)*(K48/(K48-J48)))/
  (SUMPRODUCT(POWER(J48,ROW(INDIRECT("1:"&amp;K48))-1)/FACT(ROW(INDIRECT("1:"&amp;K48))-1))+
  (POWER(K48,J48)/FACT(K48)*(K48/(K48-J48)))))</f>
        <v/>
      </c>
    </row>
    <row r="49">
      <c r="A49" t="inlineStr">
        <is>
          <t>Tuesday</t>
        </is>
      </c>
      <c r="B49" s="1" t="n">
        <v>45664</v>
      </c>
      <c r="C49" t="inlineStr">
        <is>
          <t>10:45-11:00</t>
        </is>
      </c>
      <c r="D49" t="n">
        <v>13</v>
      </c>
      <c r="E49" t="n">
        <v>13</v>
      </c>
      <c r="F49">
        <f>D49-E49</f>
        <v/>
      </c>
      <c r="G49" s="2">
        <f>F49/D49</f>
        <v/>
      </c>
      <c r="H49" t="n">
        <v>270</v>
      </c>
      <c r="I49" t="n">
        <v>26</v>
      </c>
      <c r="J49" s="3">
        <f>D49*H49/900</f>
        <v/>
      </c>
      <c r="K49" s="3">
        <f>ROUNDUP(J49+SQRT(J49)*1.5,0)</f>
        <v/>
      </c>
      <c r="L49" s="4">
        <f>J49/K49</f>
        <v/>
      </c>
      <c r="M49" s="3">
        <f>IF(K49&lt;=J49,"Need More Agents",(P49*H49)/(K49-J49))</f>
        <v/>
      </c>
      <c r="N49" s="4">
        <f>IF(K49&lt;=J49,0,1-(P49*EXP(-((K49-J49)*(90/H49)))))</f>
        <v/>
      </c>
      <c r="P49" s="4">
        <f t="array" ref="P49">IF(K49&lt;=J49,"Need More Agents",
  (POWER(K49,J49)/FACT(K49)*(K49/(K49-J49)))/
  (SUMPRODUCT(POWER(J49,ROW(INDIRECT("1:"&amp;K49))-1)/FACT(ROW(INDIRECT("1:"&amp;K49))-1))+
  (POWER(K49,J49)/FACT(K49)*(K49/(K49-J49)))))</f>
        <v/>
      </c>
    </row>
    <row r="50">
      <c r="A50" t="inlineStr">
        <is>
          <t>Tuesday</t>
        </is>
      </c>
      <c r="B50" s="1" t="n">
        <v>45664</v>
      </c>
      <c r="C50" t="inlineStr">
        <is>
          <t>11:00-11:15</t>
        </is>
      </c>
      <c r="D50" t="n">
        <v>27</v>
      </c>
      <c r="E50" t="n">
        <v>26</v>
      </c>
      <c r="F50">
        <f>D50-E50</f>
        <v/>
      </c>
      <c r="G50" s="2">
        <f>F50/D50</f>
        <v/>
      </c>
      <c r="H50" t="n">
        <v>276</v>
      </c>
      <c r="I50" t="n">
        <v>43</v>
      </c>
      <c r="J50" s="3">
        <f>D50*H50/900</f>
        <v/>
      </c>
      <c r="K50" s="3">
        <f>ROUNDUP(J50+SQRT(J50)*1.5,0)</f>
        <v/>
      </c>
      <c r="L50" s="4">
        <f>J50/K50</f>
        <v/>
      </c>
      <c r="M50" s="3">
        <f>IF(K50&lt;=J50,"Need More Agents",(P50*H50)/(K50-J50))</f>
        <v/>
      </c>
      <c r="N50" s="4">
        <f>IF(K50&lt;=J50,0,1-(P50*EXP(-((K50-J50)*(90/H50)))))</f>
        <v/>
      </c>
      <c r="P50" s="4">
        <f t="array" ref="P50">IF(K50&lt;=J50,"Need More Agents",
  (POWER(K50,J50)/FACT(K50)*(K50/(K50-J50)))/
  (SUMPRODUCT(POWER(J50,ROW(INDIRECT("1:"&amp;K50))-1)/FACT(ROW(INDIRECT("1:"&amp;K50))-1))+
  (POWER(K50,J50)/FACT(K50)*(K50/(K50-J50)))))</f>
        <v/>
      </c>
    </row>
    <row r="51">
      <c r="A51" t="inlineStr">
        <is>
          <t>Tuesday</t>
        </is>
      </c>
      <c r="B51" s="1" t="n">
        <v>45664</v>
      </c>
      <c r="C51" t="inlineStr">
        <is>
          <t>11:15-11:30</t>
        </is>
      </c>
      <c r="D51" t="n">
        <v>19</v>
      </c>
      <c r="E51" t="n">
        <v>19</v>
      </c>
      <c r="F51">
        <f>D51-E51</f>
        <v/>
      </c>
      <c r="G51" s="2">
        <f>F51/D51</f>
        <v/>
      </c>
      <c r="H51" t="n">
        <v>270</v>
      </c>
      <c r="I51" t="n">
        <v>32</v>
      </c>
      <c r="J51" s="3">
        <f>D51*H51/900</f>
        <v/>
      </c>
      <c r="K51" s="3">
        <f>ROUNDUP(J51+SQRT(J51)*1.5,0)</f>
        <v/>
      </c>
      <c r="L51" s="4">
        <f>J51/K51</f>
        <v/>
      </c>
      <c r="M51" s="3">
        <f>IF(K51&lt;=J51,"Need More Agents",(P51*H51)/(K51-J51))</f>
        <v/>
      </c>
      <c r="N51" s="4">
        <f>IF(K51&lt;=J51,0,1-(P51*EXP(-((K51-J51)*(90/H51)))))</f>
        <v/>
      </c>
      <c r="P51" s="4">
        <f t="array" ref="P51">IF(K51&lt;=J51,"Need More Agents",
  (POWER(K51,J51)/FACT(K51)*(K51/(K51-J51)))/
  (SUMPRODUCT(POWER(J51,ROW(INDIRECT("1:"&amp;K51))-1)/FACT(ROW(INDIRECT("1:"&amp;K51))-1))+
  (POWER(K51,J51)/FACT(K51)*(K51/(K51-J51)))))</f>
        <v/>
      </c>
    </row>
    <row r="52">
      <c r="A52" t="inlineStr">
        <is>
          <t>Tuesday</t>
        </is>
      </c>
      <c r="B52" s="1" t="n">
        <v>45664</v>
      </c>
      <c r="C52" t="inlineStr">
        <is>
          <t>11:30-11:45</t>
        </is>
      </c>
      <c r="D52" t="n">
        <v>15</v>
      </c>
      <c r="E52" t="n">
        <v>15</v>
      </c>
      <c r="F52">
        <f>D52-E52</f>
        <v/>
      </c>
      <c r="G52" s="2">
        <f>F52/D52</f>
        <v/>
      </c>
      <c r="H52" t="n">
        <v>264</v>
      </c>
      <c r="I52" t="n">
        <v>28</v>
      </c>
      <c r="J52" s="3">
        <f>D52*H52/900</f>
        <v/>
      </c>
      <c r="K52" s="3">
        <f>ROUNDUP(J52+SQRT(J52)*1.5,0)</f>
        <v/>
      </c>
      <c r="L52" s="4">
        <f>J52/K52</f>
        <v/>
      </c>
      <c r="M52" s="3">
        <f>IF(K52&lt;=J52,"Need More Agents",(P52*H52)/(K52-J52))</f>
        <v/>
      </c>
      <c r="N52" s="4">
        <f>IF(K52&lt;=J52,0,1-(P52*EXP(-((K52-J52)*(90/H52)))))</f>
        <v/>
      </c>
      <c r="P52" s="4">
        <f t="array" ref="P52">IF(K52&lt;=J52,"Need More Agents",
  (POWER(K52,J52)/FACT(K52)*(K52/(K52-J52)))/
  (SUMPRODUCT(POWER(J52,ROW(INDIRECT("1:"&amp;K52))-1)/FACT(ROW(INDIRECT("1:"&amp;K52))-1))+
  (POWER(K52,J52)/FACT(K52)*(K52/(K52-J52)))))</f>
        <v/>
      </c>
    </row>
    <row r="53">
      <c r="A53" t="inlineStr">
        <is>
          <t>Tuesday</t>
        </is>
      </c>
      <c r="B53" s="1" t="n">
        <v>45664</v>
      </c>
      <c r="C53" t="inlineStr">
        <is>
          <t>11:45-12:00</t>
        </is>
      </c>
      <c r="D53" t="n">
        <v>12</v>
      </c>
      <c r="E53" t="n">
        <v>12</v>
      </c>
      <c r="F53">
        <f>D53-E53</f>
        <v/>
      </c>
      <c r="G53" s="2">
        <f>F53/D53</f>
        <v/>
      </c>
      <c r="H53" t="n">
        <v>270</v>
      </c>
      <c r="I53" t="n">
        <v>25</v>
      </c>
      <c r="J53" s="3">
        <f>D53*H53/900</f>
        <v/>
      </c>
      <c r="K53" s="3">
        <f>ROUNDUP(J53+SQRT(J53)*1.5,0)</f>
        <v/>
      </c>
      <c r="L53" s="4">
        <f>J53/K53</f>
        <v/>
      </c>
      <c r="M53" s="3">
        <f>IF(K53&lt;=J53,"Need More Agents",(P53*H53)/(K53-J53))</f>
        <v/>
      </c>
      <c r="N53" s="4">
        <f>IF(K53&lt;=J53,0,1-(P53*EXP(-((K53-J53)*(90/H53)))))</f>
        <v/>
      </c>
      <c r="P53" s="4">
        <f t="array" ref="P53">IF(K53&lt;=J53,"Need More Agents",
  (POWER(K53,J53)/FACT(K53)*(K53/(K53-J53)))/
  (SUMPRODUCT(POWER(J53,ROW(INDIRECT("1:"&amp;K53))-1)/FACT(ROW(INDIRECT("1:"&amp;K53))-1))+
  (POWER(K53,J53)/FACT(K53)*(K53/(K53-J53)))))</f>
        <v/>
      </c>
    </row>
    <row r="54">
      <c r="A54" t="inlineStr">
        <is>
          <t>Tuesday</t>
        </is>
      </c>
      <c r="B54" s="1" t="n">
        <v>45664</v>
      </c>
      <c r="C54" t="inlineStr">
        <is>
          <t>12:00-12:15</t>
        </is>
      </c>
      <c r="D54" t="n">
        <v>18</v>
      </c>
      <c r="E54" t="n">
        <v>17</v>
      </c>
      <c r="F54">
        <f>D54-E54</f>
        <v/>
      </c>
      <c r="G54" s="2">
        <f>F54/D54</f>
        <v/>
      </c>
      <c r="H54" t="n">
        <v>264</v>
      </c>
      <c r="I54" t="n">
        <v>40</v>
      </c>
      <c r="J54" s="3">
        <f>D54*H54/900</f>
        <v/>
      </c>
      <c r="K54" s="3">
        <f>ROUNDUP(J54+SQRT(J54)*1.5,0)</f>
        <v/>
      </c>
      <c r="L54" s="4">
        <f>J54/K54</f>
        <v/>
      </c>
      <c r="M54" s="3">
        <f>IF(K54&lt;=J54,"Need More Agents",(P54*H54)/(K54-J54))</f>
        <v/>
      </c>
      <c r="N54" s="4">
        <f>IF(K54&lt;=J54,0,1-(P54*EXP(-((K54-J54)*(90/H54)))))</f>
        <v/>
      </c>
      <c r="P54" s="4">
        <f t="array" ref="P54">IF(K54&lt;=J54,"Need More Agents",
  (POWER(K54,J54)/FACT(K54)*(K54/(K54-J54)))/
  (SUMPRODUCT(POWER(J54,ROW(INDIRECT("1:"&amp;K54))-1)/FACT(ROW(INDIRECT("1:"&amp;K54))-1))+
  (POWER(K54,J54)/FACT(K54)*(K54/(K54-J54)))))</f>
        <v/>
      </c>
    </row>
    <row r="55">
      <c r="A55" t="inlineStr">
        <is>
          <t>Tuesday</t>
        </is>
      </c>
      <c r="B55" s="1" t="n">
        <v>45664</v>
      </c>
      <c r="C55" t="inlineStr">
        <is>
          <t>12:15-12:30</t>
        </is>
      </c>
      <c r="D55" t="n">
        <v>13</v>
      </c>
      <c r="E55" t="n">
        <v>13</v>
      </c>
      <c r="F55">
        <f>D55-E55</f>
        <v/>
      </c>
      <c r="G55" s="2">
        <f>F55/D55</f>
        <v/>
      </c>
      <c r="H55" t="n">
        <v>270</v>
      </c>
      <c r="I55" t="n">
        <v>27</v>
      </c>
      <c r="J55" s="3">
        <f>D55*H55/900</f>
        <v/>
      </c>
      <c r="K55" s="3">
        <f>ROUNDUP(J55+SQRT(J55)*1.5,0)</f>
        <v/>
      </c>
      <c r="L55" s="4">
        <f>J55/K55</f>
        <v/>
      </c>
      <c r="M55" s="3">
        <f>IF(K55&lt;=J55,"Need More Agents",(P55*H55)/(K55-J55))</f>
        <v/>
      </c>
      <c r="N55" s="4">
        <f>IF(K55&lt;=J55,0,1-(P55*EXP(-((K55-J55)*(90/H55)))))</f>
        <v/>
      </c>
      <c r="P55" s="4">
        <f t="array" ref="P55">IF(K55&lt;=J55,"Need More Agents",
  (POWER(K55,J55)/FACT(K55)*(K55/(K55-J55)))/
  (SUMPRODUCT(POWER(J55,ROW(INDIRECT("1:"&amp;K55))-1)/FACT(ROW(INDIRECT("1:"&amp;K55))-1))+
  (POWER(K55,J55)/FACT(K55)*(K55/(K55-J55)))))</f>
        <v/>
      </c>
    </row>
    <row r="56">
      <c r="A56" t="inlineStr">
        <is>
          <t>Tuesday</t>
        </is>
      </c>
      <c r="B56" s="1" t="n">
        <v>45664</v>
      </c>
      <c r="C56" t="inlineStr">
        <is>
          <t>12:30-12:45</t>
        </is>
      </c>
      <c r="D56" t="n">
        <v>10</v>
      </c>
      <c r="E56" t="n">
        <v>10</v>
      </c>
      <c r="F56">
        <f>D56-E56</f>
        <v/>
      </c>
      <c r="G56" s="2">
        <f>F56/D56</f>
        <v/>
      </c>
      <c r="H56" t="n">
        <v>264</v>
      </c>
      <c r="I56" t="n">
        <v>23</v>
      </c>
      <c r="J56" s="3">
        <f>D56*H56/900</f>
        <v/>
      </c>
      <c r="K56" s="3">
        <f>ROUNDUP(J56+SQRT(J56)*1.5,0)</f>
        <v/>
      </c>
      <c r="L56" s="4">
        <f>J56/K56</f>
        <v/>
      </c>
      <c r="M56" s="3">
        <f>IF(K56&lt;=J56,"Need More Agents",(P56*H56)/(K56-J56))</f>
        <v/>
      </c>
      <c r="N56" s="4">
        <f>IF(K56&lt;=J56,0,1-(P56*EXP(-((K56-J56)*(90/H56)))))</f>
        <v/>
      </c>
      <c r="P56" s="4">
        <f t="array" ref="P56">IF(K56&lt;=J56,"Need More Agents",
  (POWER(K56,J56)/FACT(K56)*(K56/(K56-J56)))/
  (SUMPRODUCT(POWER(J56,ROW(INDIRECT("1:"&amp;K56))-1)/FACT(ROW(INDIRECT("1:"&amp;K56))-1))+
  (POWER(K56,J56)/FACT(K56)*(K56/(K56-J56)))))</f>
        <v/>
      </c>
    </row>
    <row r="57">
      <c r="A57" t="inlineStr">
        <is>
          <t>Tuesday</t>
        </is>
      </c>
      <c r="B57" s="1" t="n">
        <v>45664</v>
      </c>
      <c r="C57" t="inlineStr">
        <is>
          <t>12:45-13:00</t>
        </is>
      </c>
      <c r="D57" t="n">
        <v>8</v>
      </c>
      <c r="E57" t="n">
        <v>8</v>
      </c>
      <c r="F57">
        <f>D57-E57</f>
        <v/>
      </c>
      <c r="G57" s="2">
        <f>F57/D57</f>
        <v/>
      </c>
      <c r="H57" t="n">
        <v>270</v>
      </c>
      <c r="I57" t="n">
        <v>21</v>
      </c>
      <c r="J57" s="3">
        <f>D57*H57/900</f>
        <v/>
      </c>
      <c r="K57" s="3">
        <f>ROUNDUP(J57+SQRT(J57)*1.5,0)</f>
        <v/>
      </c>
      <c r="L57" s="4">
        <f>J57/K57</f>
        <v/>
      </c>
      <c r="M57" s="3">
        <f>IF(K57&lt;=J57,"Need More Agents",(P57*H57)/(K57-J57))</f>
        <v/>
      </c>
      <c r="N57" s="4">
        <f>IF(K57&lt;=J57,0,1-(P57*EXP(-((K57-J57)*(90/H57)))))</f>
        <v/>
      </c>
      <c r="P57" s="4">
        <f t="array" ref="P57">IF(K57&lt;=J57,"Need More Agents",
  (POWER(K57,J57)/FACT(K57)*(K57/(K57-J57)))/
  (SUMPRODUCT(POWER(J57,ROW(INDIRECT("1:"&amp;K57))-1)/FACT(ROW(INDIRECT("1:"&amp;K57))-1))+
  (POWER(K57,J57)/FACT(K57)*(K57/(K57-J57)))))</f>
        <v/>
      </c>
    </row>
    <row r="58">
      <c r="A58" t="inlineStr">
        <is>
          <t>Tuesday</t>
        </is>
      </c>
      <c r="B58" s="1" t="n">
        <v>45664</v>
      </c>
      <c r="C58" t="inlineStr">
        <is>
          <t>13:00-13:15</t>
        </is>
      </c>
      <c r="D58" t="n">
        <v>22</v>
      </c>
      <c r="E58" t="n">
        <v>21</v>
      </c>
      <c r="F58">
        <f>D58-E58</f>
        <v/>
      </c>
      <c r="G58" s="2">
        <f>F58/D58</f>
        <v/>
      </c>
      <c r="H58" t="n">
        <v>276</v>
      </c>
      <c r="I58" t="n">
        <v>42</v>
      </c>
      <c r="J58" s="3">
        <f>D58*H58/900</f>
        <v/>
      </c>
      <c r="K58" s="3">
        <f>ROUNDUP(J58+SQRT(J58)*1.5,0)</f>
        <v/>
      </c>
      <c r="L58" s="4">
        <f>J58/K58</f>
        <v/>
      </c>
      <c r="M58" s="3">
        <f>IF(K58&lt;=J58,"Need More Agents",(P58*H58)/(K58-J58))</f>
        <v/>
      </c>
      <c r="N58" s="4">
        <f>IF(K58&lt;=J58,0,1-(P58*EXP(-((K58-J58)*(90/H58)))))</f>
        <v/>
      </c>
      <c r="P58" s="4">
        <f t="array" ref="P58">IF(K58&lt;=J58,"Need More Agents",
  (POWER(K58,J58)/FACT(K58)*(K58/(K58-J58)))/
  (SUMPRODUCT(POWER(J58,ROW(INDIRECT("1:"&amp;K58))-1)/FACT(ROW(INDIRECT("1:"&amp;K58))-1))+
  (POWER(K58,J58)/FACT(K58)*(K58/(K58-J58)))))</f>
        <v/>
      </c>
    </row>
    <row r="59">
      <c r="A59" t="inlineStr">
        <is>
          <t>Tuesday</t>
        </is>
      </c>
      <c r="B59" s="1" t="n">
        <v>45664</v>
      </c>
      <c r="C59" t="inlineStr">
        <is>
          <t>13:15-13:30</t>
        </is>
      </c>
      <c r="D59" t="n">
        <v>15</v>
      </c>
      <c r="E59" t="n">
        <v>15</v>
      </c>
      <c r="F59">
        <f>D59-E59</f>
        <v/>
      </c>
      <c r="G59" s="2">
        <f>F59/D59</f>
        <v/>
      </c>
      <c r="H59" t="n">
        <v>270</v>
      </c>
      <c r="I59" t="n">
        <v>28</v>
      </c>
      <c r="J59" s="3">
        <f>D59*H59/900</f>
        <v/>
      </c>
      <c r="K59" s="3">
        <f>ROUNDUP(J59+SQRT(J59)*1.5,0)</f>
        <v/>
      </c>
      <c r="L59" s="4">
        <f>J59/K59</f>
        <v/>
      </c>
      <c r="M59" s="3">
        <f>IF(K59&lt;=J59,"Need More Agents",(P59*H59)/(K59-J59))</f>
        <v/>
      </c>
      <c r="N59" s="4">
        <f>IF(K59&lt;=J59,0,1-(P59*EXP(-((K59-J59)*(90/H59)))))</f>
        <v/>
      </c>
      <c r="P59" s="4">
        <f t="array" ref="P59">IF(K59&lt;=J59,"Need More Agents",
  (POWER(K59,J59)/FACT(K59)*(K59/(K59-J59)))/
  (SUMPRODUCT(POWER(J59,ROW(INDIRECT("1:"&amp;K59))-1)/FACT(ROW(INDIRECT("1:"&amp;K59))-1))+
  (POWER(K59,J59)/FACT(K59)*(K59/(K59-J59)))))</f>
        <v/>
      </c>
    </row>
    <row r="60">
      <c r="A60" t="inlineStr">
        <is>
          <t>Tuesday</t>
        </is>
      </c>
      <c r="B60" s="1" t="n">
        <v>45664</v>
      </c>
      <c r="C60" t="inlineStr">
        <is>
          <t>13:30-13:45</t>
        </is>
      </c>
      <c r="D60" t="n">
        <v>13</v>
      </c>
      <c r="E60" t="n">
        <v>13</v>
      </c>
      <c r="F60">
        <f>D60-E60</f>
        <v/>
      </c>
      <c r="G60" s="2">
        <f>F60/D60</f>
        <v/>
      </c>
      <c r="H60" t="n">
        <v>264</v>
      </c>
      <c r="I60" t="n">
        <v>26</v>
      </c>
      <c r="J60" s="3">
        <f>D60*H60/900</f>
        <v/>
      </c>
      <c r="K60" s="3">
        <f>ROUNDUP(J60+SQRT(J60)*1.5,0)</f>
        <v/>
      </c>
      <c r="L60" s="4">
        <f>J60/K60</f>
        <v/>
      </c>
      <c r="M60" s="3">
        <f>IF(K60&lt;=J60,"Need More Agents",(P60*H60)/(K60-J60))</f>
        <v/>
      </c>
      <c r="N60" s="4">
        <f>IF(K60&lt;=J60,0,1-(P60*EXP(-((K60-J60)*(90/H60)))))</f>
        <v/>
      </c>
      <c r="P60" s="4">
        <f t="array" ref="P60">IF(K60&lt;=J60,"Need More Agents",
  (POWER(K60,J60)/FACT(K60)*(K60/(K60-J60)))/
  (SUMPRODUCT(POWER(J60,ROW(INDIRECT("1:"&amp;K60))-1)/FACT(ROW(INDIRECT("1:"&amp;K60))-1))+
  (POWER(K60,J60)/FACT(K60)*(K60/(K60-J60)))))</f>
        <v/>
      </c>
    </row>
    <row r="61">
      <c r="A61" t="inlineStr">
        <is>
          <t>Tuesday</t>
        </is>
      </c>
      <c r="B61" s="1" t="n">
        <v>45664</v>
      </c>
      <c r="C61" t="inlineStr">
        <is>
          <t>13:45-14:00</t>
        </is>
      </c>
      <c r="D61" t="n">
        <v>10</v>
      </c>
      <c r="E61" t="n">
        <v>10</v>
      </c>
      <c r="F61">
        <f>D61-E61</f>
        <v/>
      </c>
      <c r="G61" s="2">
        <f>F61/D61</f>
        <v/>
      </c>
      <c r="H61" t="n">
        <v>270</v>
      </c>
      <c r="I61" t="n">
        <v>23</v>
      </c>
      <c r="J61" s="3">
        <f>D61*H61/900</f>
        <v/>
      </c>
      <c r="K61" s="3">
        <f>ROUNDUP(J61+SQRT(J61)*1.5,0)</f>
        <v/>
      </c>
      <c r="L61" s="4">
        <f>J61/K61</f>
        <v/>
      </c>
      <c r="M61" s="3">
        <f>IF(K61&lt;=J61,"Need More Agents",(P61*H61)/(K61-J61))</f>
        <v/>
      </c>
      <c r="N61" s="4">
        <f>IF(K61&lt;=J61,0,1-(P61*EXP(-((K61-J61)*(90/H61)))))</f>
        <v/>
      </c>
      <c r="P61" s="4">
        <f t="array" ref="P61">IF(K61&lt;=J61,"Need More Agents",
  (POWER(K61,J61)/FACT(K61)*(K61/(K61-J61)))/
  (SUMPRODUCT(POWER(J61,ROW(INDIRECT("1:"&amp;K61))-1)/FACT(ROW(INDIRECT("1:"&amp;K61))-1))+
  (POWER(K61,J61)/FACT(K61)*(K61/(K61-J61)))))</f>
        <v/>
      </c>
    </row>
    <row r="62">
      <c r="A62" t="inlineStr">
        <is>
          <t>Tuesday</t>
        </is>
      </c>
      <c r="B62" s="1" t="n">
        <v>45664</v>
      </c>
      <c r="C62" t="inlineStr">
        <is>
          <t>14:00-14:15</t>
        </is>
      </c>
      <c r="D62" t="n">
        <v>25</v>
      </c>
      <c r="E62" t="n">
        <v>24</v>
      </c>
      <c r="F62">
        <f>D62-E62</f>
        <v/>
      </c>
      <c r="G62" s="2">
        <f>F62/D62</f>
        <v/>
      </c>
      <c r="H62" t="n">
        <v>276</v>
      </c>
      <c r="I62" t="n">
        <v>42</v>
      </c>
      <c r="J62" s="3">
        <f>D62*H62/900</f>
        <v/>
      </c>
      <c r="K62" s="3">
        <f>ROUNDUP(J62+SQRT(J62)*1.5,0)</f>
        <v/>
      </c>
      <c r="L62" s="4">
        <f>J62/K62</f>
        <v/>
      </c>
      <c r="M62" s="3">
        <f>IF(K62&lt;=J62,"Need More Agents",(P62*H62)/(K62-J62))</f>
        <v/>
      </c>
      <c r="N62" s="4">
        <f>IF(K62&lt;=J62,0,1-(P62*EXP(-((K62-J62)*(90/H62)))))</f>
        <v/>
      </c>
      <c r="P62" s="4">
        <f t="array" ref="P62">IF(K62&lt;=J62,"Need More Agents",
  (POWER(K62,J62)/FACT(K62)*(K62/(K62-J62)))/
  (SUMPRODUCT(POWER(J62,ROW(INDIRECT("1:"&amp;K62))-1)/FACT(ROW(INDIRECT("1:"&amp;K62))-1))+
  (POWER(K62,J62)/FACT(K62)*(K62/(K62-J62)))))</f>
        <v/>
      </c>
    </row>
    <row r="63">
      <c r="A63" t="inlineStr">
        <is>
          <t>Tuesday</t>
        </is>
      </c>
      <c r="B63" s="1" t="n">
        <v>45664</v>
      </c>
      <c r="C63" t="inlineStr">
        <is>
          <t>14:15-14:30</t>
        </is>
      </c>
      <c r="D63" t="n">
        <v>18</v>
      </c>
      <c r="E63" t="n">
        <v>18</v>
      </c>
      <c r="F63">
        <f>D63-E63</f>
        <v/>
      </c>
      <c r="G63" s="2">
        <f>F63/D63</f>
        <v/>
      </c>
      <c r="H63" t="n">
        <v>270</v>
      </c>
      <c r="I63" t="n">
        <v>32</v>
      </c>
      <c r="J63" s="3">
        <f>D63*H63/900</f>
        <v/>
      </c>
      <c r="K63" s="3">
        <f>ROUNDUP(J63+SQRT(J63)*1.5,0)</f>
        <v/>
      </c>
      <c r="L63" s="4">
        <f>J63/K63</f>
        <v/>
      </c>
      <c r="M63" s="3">
        <f>IF(K63&lt;=J63,"Need More Agents",(P63*H63)/(K63-J63))</f>
        <v/>
      </c>
      <c r="N63" s="4">
        <f>IF(K63&lt;=J63,0,1-(P63*EXP(-((K63-J63)*(90/H63)))))</f>
        <v/>
      </c>
      <c r="P63" s="4">
        <f t="array" ref="P63">IF(K63&lt;=J63,"Need More Agents",
  (POWER(K63,J63)/FACT(K63)*(K63/(K63-J63)))/
  (SUMPRODUCT(POWER(J63,ROW(INDIRECT("1:"&amp;K63))-1)/FACT(ROW(INDIRECT("1:"&amp;K63))-1))+
  (POWER(K63,J63)/FACT(K63)*(K63/(K63-J63)))))</f>
        <v/>
      </c>
    </row>
    <row r="64">
      <c r="A64" t="inlineStr">
        <is>
          <t>Tuesday</t>
        </is>
      </c>
      <c r="B64" s="1" t="n">
        <v>45664</v>
      </c>
      <c r="C64" t="inlineStr">
        <is>
          <t>14:30-14:45</t>
        </is>
      </c>
      <c r="D64" t="n">
        <v>14</v>
      </c>
      <c r="E64" t="n">
        <v>14</v>
      </c>
      <c r="F64">
        <f>D64-E64</f>
        <v/>
      </c>
      <c r="G64" s="2">
        <f>F64/D64</f>
        <v/>
      </c>
      <c r="H64" t="n">
        <v>264</v>
      </c>
      <c r="I64" t="n">
        <v>27</v>
      </c>
      <c r="J64" s="3">
        <f>D64*H64/900</f>
        <v/>
      </c>
      <c r="K64" s="3">
        <f>ROUNDUP(J64+SQRT(J64)*1.5,0)</f>
        <v/>
      </c>
      <c r="L64" s="4">
        <f>J64/K64</f>
        <v/>
      </c>
      <c r="M64" s="3">
        <f>IF(K64&lt;=J64,"Need More Agents",(P64*H64)/(K64-J64))</f>
        <v/>
      </c>
      <c r="N64" s="4">
        <f>IF(K64&lt;=J64,0,1-(P64*EXP(-((K64-J64)*(90/H64)))))</f>
        <v/>
      </c>
      <c r="P64" s="4">
        <f t="array" ref="P64">IF(K64&lt;=J64,"Need More Agents",
  (POWER(K64,J64)/FACT(K64)*(K64/(K64-J64)))/
  (SUMPRODUCT(POWER(J64,ROW(INDIRECT("1:"&amp;K64))-1)/FACT(ROW(INDIRECT("1:"&amp;K64))-1))+
  (POWER(K64,J64)/FACT(K64)*(K64/(K64-J64)))))</f>
        <v/>
      </c>
    </row>
    <row r="65">
      <c r="A65" t="inlineStr">
        <is>
          <t>Tuesday</t>
        </is>
      </c>
      <c r="B65" s="1" t="n">
        <v>45664</v>
      </c>
      <c r="C65" t="inlineStr">
        <is>
          <t>14:45-15:00</t>
        </is>
      </c>
      <c r="D65" t="n">
        <v>12</v>
      </c>
      <c r="E65" t="n">
        <v>12</v>
      </c>
      <c r="F65">
        <f>D65-E65</f>
        <v/>
      </c>
      <c r="G65" s="2">
        <f>F65/D65</f>
        <v/>
      </c>
      <c r="H65" t="n">
        <v>270</v>
      </c>
      <c r="I65" t="n">
        <v>25</v>
      </c>
      <c r="J65" s="3">
        <f>D65*H65/900</f>
        <v/>
      </c>
      <c r="K65" s="3">
        <f>ROUNDUP(J65+SQRT(J65)*1.5,0)</f>
        <v/>
      </c>
      <c r="L65" s="4">
        <f>J65/K65</f>
        <v/>
      </c>
      <c r="M65" s="3">
        <f>IF(K65&lt;=J65,"Need More Agents",(P65*H65)/(K65-J65))</f>
        <v/>
      </c>
      <c r="N65" s="4">
        <f>IF(K65&lt;=J65,0,1-(P65*EXP(-((K65-J65)*(90/H65)))))</f>
        <v/>
      </c>
      <c r="P65" s="4">
        <f t="array" ref="P65">IF(K65&lt;=J65,"Need More Agents",
  (POWER(K65,J65)/FACT(K65)*(K65/(K65-J65)))/
  (SUMPRODUCT(POWER(J65,ROW(INDIRECT("1:"&amp;K65))-1)/FACT(ROW(INDIRECT("1:"&amp;K65))-1))+
  (POWER(K65,J65)/FACT(K65)*(K65/(K65-J65)))))</f>
        <v/>
      </c>
    </row>
    <row r="66">
      <c r="A66" t="inlineStr">
        <is>
          <t>Tuesday</t>
        </is>
      </c>
      <c r="B66" s="1" t="n">
        <v>45664</v>
      </c>
      <c r="C66" t="inlineStr">
        <is>
          <t>15:00-15:15</t>
        </is>
      </c>
      <c r="D66" t="n">
        <v>20</v>
      </c>
      <c r="E66" t="n">
        <v>19</v>
      </c>
      <c r="F66">
        <f>D66-E66</f>
        <v/>
      </c>
      <c r="G66" s="2">
        <f>F66/D66</f>
        <v/>
      </c>
      <c r="H66" t="n">
        <v>270</v>
      </c>
      <c r="I66" t="n">
        <v>41</v>
      </c>
      <c r="J66" s="3">
        <f>D66*H66/900</f>
        <v/>
      </c>
      <c r="K66" s="3">
        <f>ROUNDUP(J66+SQRT(J66)*1.5,0)</f>
        <v/>
      </c>
      <c r="L66" s="4">
        <f>J66/K66</f>
        <v/>
      </c>
      <c r="M66" s="3">
        <f>IF(K66&lt;=J66,"Need More Agents",(P66*H66)/(K66-J66))</f>
        <v/>
      </c>
      <c r="N66" s="4">
        <f>IF(K66&lt;=J66,0,1-(P66*EXP(-((K66-J66)*(90/H66)))))</f>
        <v/>
      </c>
      <c r="P66" s="4">
        <f t="array" ref="P66">IF(K66&lt;=J66,"Need More Agents",
  (POWER(K66,J66)/FACT(K66)*(K66/(K66-J66)))/
  (SUMPRODUCT(POWER(J66,ROW(INDIRECT("1:"&amp;K66))-1)/FACT(ROW(INDIRECT("1:"&amp;K66))-1))+
  (POWER(K66,J66)/FACT(K66)*(K66/(K66-J66)))))</f>
        <v/>
      </c>
    </row>
    <row r="67">
      <c r="A67" t="inlineStr">
        <is>
          <t>Tuesday</t>
        </is>
      </c>
      <c r="B67" s="1" t="n">
        <v>45664</v>
      </c>
      <c r="C67" t="inlineStr">
        <is>
          <t>15:15-15:30</t>
        </is>
      </c>
      <c r="D67" t="n">
        <v>14</v>
      </c>
      <c r="E67" t="n">
        <v>14</v>
      </c>
      <c r="F67">
        <f>D67-E67</f>
        <v/>
      </c>
      <c r="G67" s="2">
        <f>F67/D67</f>
        <v/>
      </c>
      <c r="H67" t="n">
        <v>264</v>
      </c>
      <c r="I67" t="n">
        <v>27</v>
      </c>
      <c r="J67" s="3">
        <f>D67*H67/900</f>
        <v/>
      </c>
      <c r="K67" s="3">
        <f>ROUNDUP(J67+SQRT(J67)*1.5,0)</f>
        <v/>
      </c>
      <c r="L67" s="4">
        <f>J67/K67</f>
        <v/>
      </c>
      <c r="M67" s="3">
        <f>IF(K67&lt;=J67,"Need More Agents",(P67*H67)/(K67-J67))</f>
        <v/>
      </c>
      <c r="N67" s="4">
        <f>IF(K67&lt;=J67,0,1-(P67*EXP(-((K67-J67)*(90/H67)))))</f>
        <v/>
      </c>
      <c r="P67" s="4">
        <f t="array" ref="P67">IF(K67&lt;=J67,"Need More Agents",
  (POWER(K67,J67)/FACT(K67)*(K67/(K67-J67)))/
  (SUMPRODUCT(POWER(J67,ROW(INDIRECT("1:"&amp;K67))-1)/FACT(ROW(INDIRECT("1:"&amp;K67))-1))+
  (POWER(K67,J67)/FACT(K67)*(K67/(K67-J67)))))</f>
        <v/>
      </c>
    </row>
    <row r="68">
      <c r="A68" t="inlineStr">
        <is>
          <t>Tuesday</t>
        </is>
      </c>
      <c r="B68" s="1" t="n">
        <v>45664</v>
      </c>
      <c r="C68" t="inlineStr">
        <is>
          <t>15:30-15:45</t>
        </is>
      </c>
      <c r="D68" t="n">
        <v>11</v>
      </c>
      <c r="E68" t="n">
        <v>11</v>
      </c>
      <c r="F68">
        <f>D68-E68</f>
        <v/>
      </c>
      <c r="G68" s="2">
        <f>F68/D68</f>
        <v/>
      </c>
      <c r="H68" t="n">
        <v>270</v>
      </c>
      <c r="I68" t="n">
        <v>24</v>
      </c>
      <c r="J68" s="3">
        <f>D68*H68/900</f>
        <v/>
      </c>
      <c r="K68" s="3">
        <f>ROUNDUP(J68+SQRT(J68)*1.5,0)</f>
        <v/>
      </c>
      <c r="L68" s="4">
        <f>J68/K68</f>
        <v/>
      </c>
      <c r="M68" s="3">
        <f>IF(K68&lt;=J68,"Need More Agents",(P68*H68)/(K68-J68))</f>
        <v/>
      </c>
      <c r="N68" s="4">
        <f>IF(K68&lt;=J68,0,1-(P68*EXP(-((K68-J68)*(90/H68)))))</f>
        <v/>
      </c>
      <c r="P68" s="4">
        <f t="array" ref="P68">IF(K68&lt;=J68,"Need More Agents",
  (POWER(K68,J68)/FACT(K68)*(K68/(K68-J68)))/
  (SUMPRODUCT(POWER(J68,ROW(INDIRECT("1:"&amp;K68))-1)/FACT(ROW(INDIRECT("1:"&amp;K68))-1))+
  (POWER(K68,J68)/FACT(K68)*(K68/(K68-J68)))))</f>
        <v/>
      </c>
    </row>
    <row r="69">
      <c r="A69" t="inlineStr">
        <is>
          <t>Tuesday</t>
        </is>
      </c>
      <c r="B69" s="1" t="n">
        <v>45664</v>
      </c>
      <c r="C69" t="inlineStr">
        <is>
          <t>15:45-16:00</t>
        </is>
      </c>
      <c r="D69" t="n">
        <v>9</v>
      </c>
      <c r="E69" t="n">
        <v>9</v>
      </c>
      <c r="F69">
        <f>D69-E69</f>
        <v/>
      </c>
      <c r="G69" s="2">
        <f>F69/D69</f>
        <v/>
      </c>
      <c r="H69" t="n">
        <v>264</v>
      </c>
      <c r="I69" t="n">
        <v>22</v>
      </c>
      <c r="J69" s="3">
        <f>D69*H69/900</f>
        <v/>
      </c>
      <c r="K69" s="3">
        <f>ROUNDUP(J69+SQRT(J69)*1.5,0)</f>
        <v/>
      </c>
      <c r="L69" s="4">
        <f>J69/K69</f>
        <v/>
      </c>
      <c r="M69" s="3">
        <f>IF(K69&lt;=J69,"Need More Agents",(P69*H69)/(K69-J69))</f>
        <v/>
      </c>
      <c r="N69" s="4">
        <f>IF(K69&lt;=J69,0,1-(P69*EXP(-((K69-J69)*(90/H69)))))</f>
        <v/>
      </c>
      <c r="P69" s="4">
        <f t="array" ref="P69">IF(K69&lt;=J69,"Need More Agents",
  (POWER(K69,J69)/FACT(K69)*(K69/(K69-J69)))/
  (SUMPRODUCT(POWER(J69,ROW(INDIRECT("1:"&amp;K69))-1)/FACT(ROW(INDIRECT("1:"&amp;K69))-1))+
  (POWER(K69,J69)/FACT(K69)*(K69/(K69-J69)))))</f>
        <v/>
      </c>
    </row>
    <row r="70">
      <c r="A70" t="inlineStr">
        <is>
          <t>Tuesday</t>
        </is>
      </c>
      <c r="B70" s="1" t="n">
        <v>45664</v>
      </c>
      <c r="C70" t="inlineStr">
        <is>
          <t>16:00-16:15</t>
        </is>
      </c>
      <c r="D70" t="n">
        <v>16</v>
      </c>
      <c r="E70" t="n">
        <v>15</v>
      </c>
      <c r="F70">
        <f>D70-E70</f>
        <v/>
      </c>
      <c r="G70" s="2">
        <f>F70/D70</f>
        <v/>
      </c>
      <c r="H70" t="n">
        <v>276</v>
      </c>
      <c r="I70" t="n">
        <v>45</v>
      </c>
      <c r="J70" s="3">
        <f>D70*H70/900</f>
        <v/>
      </c>
      <c r="K70" s="3">
        <f>ROUNDUP(J70+SQRT(J70)*1.5,0)</f>
        <v/>
      </c>
      <c r="L70" s="4">
        <f>J70/K70</f>
        <v/>
      </c>
      <c r="M70" s="3">
        <f>IF(K70&lt;=J70,"Need More Agents",(P70*H70)/(K70-J70))</f>
        <v/>
      </c>
      <c r="N70" s="4">
        <f>IF(K70&lt;=J70,0,1-(P70*EXP(-((K70-J70)*(90/H70)))))</f>
        <v/>
      </c>
      <c r="P70" s="4">
        <f t="array" ref="P70">IF(K70&lt;=J70,"Need More Agents",
  (POWER(K70,J70)/FACT(K70)*(K70/(K70-J70)))/
  (SUMPRODUCT(POWER(J70,ROW(INDIRECT("1:"&amp;K70))-1)/FACT(ROW(INDIRECT("1:"&amp;K70))-1))+
  (POWER(K70,J70)/FACT(K70)*(K70/(K70-J70)))))</f>
        <v/>
      </c>
    </row>
    <row r="71">
      <c r="A71" t="inlineStr">
        <is>
          <t>Tuesday</t>
        </is>
      </c>
      <c r="B71" s="1" t="n">
        <v>45664</v>
      </c>
      <c r="C71" t="inlineStr">
        <is>
          <t>16:15-16:30</t>
        </is>
      </c>
      <c r="D71" t="n">
        <v>11</v>
      </c>
      <c r="E71" t="n">
        <v>11</v>
      </c>
      <c r="F71">
        <f>D71-E71</f>
        <v/>
      </c>
      <c r="G71" s="2">
        <f>F71/D71</f>
        <v/>
      </c>
      <c r="H71" t="n">
        <v>270</v>
      </c>
      <c r="I71" t="n">
        <v>24</v>
      </c>
      <c r="J71" s="3">
        <f>D71*H71/900</f>
        <v/>
      </c>
      <c r="K71" s="3">
        <f>ROUNDUP(J71+SQRT(J71)*1.5,0)</f>
        <v/>
      </c>
      <c r="L71" s="4">
        <f>J71/K71</f>
        <v/>
      </c>
      <c r="M71" s="3">
        <f>IF(K71&lt;=J71,"Need More Agents",(P71*H71)/(K71-J71))</f>
        <v/>
      </c>
      <c r="N71" s="4">
        <f>IF(K71&lt;=J71,0,1-(P71*EXP(-((K71-J71)*(90/H71)))))</f>
        <v/>
      </c>
      <c r="P71" s="4">
        <f t="array" ref="P71">IF(K71&lt;=J71,"Need More Agents",
  (POWER(K71,J71)/FACT(K71)*(K71/(K71-J71)))/
  (SUMPRODUCT(POWER(J71,ROW(INDIRECT("1:"&amp;K71))-1)/FACT(ROW(INDIRECT("1:"&amp;K71))-1))+
  (POWER(K71,J71)/FACT(K71)*(K71/(K71-J71)))))</f>
        <v/>
      </c>
    </row>
    <row r="72">
      <c r="A72" t="inlineStr">
        <is>
          <t>Tuesday</t>
        </is>
      </c>
      <c r="B72" s="1" t="n">
        <v>45664</v>
      </c>
      <c r="C72" t="inlineStr">
        <is>
          <t>16:30-16:45</t>
        </is>
      </c>
      <c r="D72" t="n">
        <v>9</v>
      </c>
      <c r="E72" t="n">
        <v>9</v>
      </c>
      <c r="F72">
        <f>D72-E72</f>
        <v/>
      </c>
      <c r="G72" s="2">
        <f>F72/D72</f>
        <v/>
      </c>
      <c r="H72" t="n">
        <v>264</v>
      </c>
      <c r="I72" t="n">
        <v>22</v>
      </c>
      <c r="J72" s="3">
        <f>D72*H72/900</f>
        <v/>
      </c>
      <c r="K72" s="3">
        <f>ROUNDUP(J72+SQRT(J72)*1.5,0)</f>
        <v/>
      </c>
      <c r="L72" s="4">
        <f>J72/K72</f>
        <v/>
      </c>
      <c r="M72" s="3">
        <f>IF(K72&lt;=J72,"Need More Agents",(P72*H72)/(K72-J72))</f>
        <v/>
      </c>
      <c r="N72" s="4">
        <f>IF(K72&lt;=J72,0,1-(P72*EXP(-((K72-J72)*(90/H72)))))</f>
        <v/>
      </c>
      <c r="P72" s="4">
        <f t="array" ref="P72">IF(K72&lt;=J72,"Need More Agents",
  (POWER(K72,J72)/FACT(K72)*(K72/(K72-J72)))/
  (SUMPRODUCT(POWER(J72,ROW(INDIRECT("1:"&amp;K72))-1)/FACT(ROW(INDIRECT("1:"&amp;K72))-1))+
  (POWER(K72,J72)/FACT(K72)*(K72/(K72-J72)))))</f>
        <v/>
      </c>
    </row>
    <row r="73">
      <c r="A73" t="inlineStr">
        <is>
          <t>Tuesday</t>
        </is>
      </c>
      <c r="B73" s="1" t="n">
        <v>45664</v>
      </c>
      <c r="C73" t="inlineStr">
        <is>
          <t>16:45-17:00</t>
        </is>
      </c>
      <c r="D73" t="n">
        <v>7</v>
      </c>
      <c r="E73" t="n">
        <v>7</v>
      </c>
      <c r="F73">
        <f>D73-E73</f>
        <v/>
      </c>
      <c r="G73" s="2">
        <f>F73/D73</f>
        <v/>
      </c>
      <c r="H73" t="n">
        <v>270</v>
      </c>
      <c r="I73" t="n">
        <v>20</v>
      </c>
      <c r="J73" s="3">
        <f>D73*H73/900</f>
        <v/>
      </c>
      <c r="K73" s="3">
        <f>ROUNDUP(J73+SQRT(J73)*1.5,0)</f>
        <v/>
      </c>
      <c r="L73" s="4">
        <f>J73/K73</f>
        <v/>
      </c>
      <c r="M73" s="3">
        <f>IF(K73&lt;=J73,"Need More Agents",(P73*H73)/(K73-J73))</f>
        <v/>
      </c>
      <c r="N73" s="4">
        <f>IF(K73&lt;=J73,0,1-(P73*EXP(-((K73-J73)*(90/H73)))))</f>
        <v/>
      </c>
      <c r="P73" s="4">
        <f t="array" ref="P73">IF(K73&lt;=J73,"Need More Agents",
  (POWER(K73,J73)/FACT(K73)*(K73/(K73-J73)))/
  (SUMPRODUCT(POWER(J73,ROW(INDIRECT("1:"&amp;K73))-1)/FACT(ROW(INDIRECT("1:"&amp;K73))-1))+
  (POWER(K73,J73)/FACT(K73)*(K73/(K73-J73)))))</f>
        <v/>
      </c>
    </row>
    <row r="74">
      <c r="A74" t="inlineStr">
        <is>
          <t>Wednesday</t>
        </is>
      </c>
      <c r="B74" s="1" t="n">
        <v>45665</v>
      </c>
      <c r="C74" t="inlineStr">
        <is>
          <t>08:00-08:15</t>
        </is>
      </c>
      <c r="D74" t="n">
        <v>14</v>
      </c>
      <c r="E74" t="n">
        <v>13</v>
      </c>
      <c r="F74">
        <f>D74-E74</f>
        <v/>
      </c>
      <c r="G74" s="2">
        <f>F74/D74</f>
        <v/>
      </c>
      <c r="H74" t="n">
        <v>264</v>
      </c>
      <c r="I74" t="n">
        <v>48</v>
      </c>
      <c r="J74" s="3">
        <f>D74*H74/900</f>
        <v/>
      </c>
      <c r="K74" s="3">
        <f>ROUNDUP(J74+SQRT(J74)*1.5,0)</f>
        <v/>
      </c>
      <c r="L74" s="4">
        <f>J74/K74</f>
        <v/>
      </c>
      <c r="M74" s="3">
        <f>IF(K74&lt;=J74,"Need More Agents",(P74*H74)/(K74-J74))</f>
        <v/>
      </c>
      <c r="N74" s="4">
        <f>IF(K74&lt;=J74,0,1-(P74*EXP(-((K74-J74)*(90/H74)))))</f>
        <v/>
      </c>
      <c r="P74" s="4">
        <f t="array" ref="P74">IF(K74&lt;=J74,"Need More Agents",
  (POWER(K74,J74)/FACT(K74)*(K74/(K74-J74)))/
  (SUMPRODUCT(POWER(J74,ROW(INDIRECT("1:"&amp;K74))-1)/FACT(ROW(INDIRECT("1:"&amp;K74))-1))+
  (POWER(K74,J74)/FACT(K74)*(K74/(K74-J74)))))</f>
        <v/>
      </c>
    </row>
    <row r="75">
      <c r="A75" t="inlineStr">
        <is>
          <t>Wednesday</t>
        </is>
      </c>
      <c r="B75" s="1" t="n">
        <v>45665</v>
      </c>
      <c r="C75" t="inlineStr">
        <is>
          <t>08:15-08:30</t>
        </is>
      </c>
      <c r="D75" t="n">
        <v>10</v>
      </c>
      <c r="E75" t="n">
        <v>10</v>
      </c>
      <c r="F75">
        <f>D75-E75</f>
        <v/>
      </c>
      <c r="G75" s="2">
        <f>F75/D75</f>
        <v/>
      </c>
      <c r="H75" t="n">
        <v>270</v>
      </c>
      <c r="I75" t="n">
        <v>24</v>
      </c>
      <c r="J75" s="3">
        <f>D75*H75/900</f>
        <v/>
      </c>
      <c r="K75" s="3">
        <f>ROUNDUP(J75+SQRT(J75)*1.5,0)</f>
        <v/>
      </c>
      <c r="L75" s="4">
        <f>J75/K75</f>
        <v/>
      </c>
      <c r="M75" s="3">
        <f>IF(K75&lt;=J75,"Need More Agents",(P75*H75)/(K75-J75))</f>
        <v/>
      </c>
      <c r="N75" s="4">
        <f>IF(K75&lt;=J75,0,1-(P75*EXP(-((K75-J75)*(90/H75)))))</f>
        <v/>
      </c>
      <c r="P75" s="4">
        <f t="array" ref="P75">IF(K75&lt;=J75,"Need More Agents",
  (POWER(K75,J75)/FACT(K75)*(K75/(K75-J75)))/
  (SUMPRODUCT(POWER(J75,ROW(INDIRECT("1:"&amp;K75))-1)/FACT(ROW(INDIRECT("1:"&amp;K75))-1))+
  (POWER(K75,J75)/FACT(K75)*(K75/(K75-J75)))))</f>
        <v/>
      </c>
    </row>
    <row r="76">
      <c r="A76" t="inlineStr">
        <is>
          <t>Wednesday</t>
        </is>
      </c>
      <c r="B76" s="1" t="n">
        <v>45665</v>
      </c>
      <c r="C76" t="inlineStr">
        <is>
          <t>08:30-08:45</t>
        </is>
      </c>
      <c r="D76" t="n">
        <v>8</v>
      </c>
      <c r="E76" t="n">
        <v>8</v>
      </c>
      <c r="F76">
        <f>D76-E76</f>
        <v/>
      </c>
      <c r="G76" s="2">
        <f>F76/D76</f>
        <v/>
      </c>
      <c r="H76" t="n">
        <v>264</v>
      </c>
      <c r="I76" t="n">
        <v>21</v>
      </c>
      <c r="J76" s="3">
        <f>D76*H76/900</f>
        <v/>
      </c>
      <c r="K76" s="3">
        <f>ROUNDUP(J76+SQRT(J76)*1.5,0)</f>
        <v/>
      </c>
      <c r="L76" s="4">
        <f>J76/K76</f>
        <v/>
      </c>
      <c r="M76" s="3">
        <f>IF(K76&lt;=J76,"Need More Agents",(P76*H76)/(K76-J76))</f>
        <v/>
      </c>
      <c r="N76" s="4">
        <f>IF(K76&lt;=J76,0,1-(P76*EXP(-((K76-J76)*(90/H76)))))</f>
        <v/>
      </c>
      <c r="P76" s="4">
        <f t="array" ref="P76">IF(K76&lt;=J76,"Need More Agents",
  (POWER(K76,J76)/FACT(K76)*(K76/(K76-J76)))/
  (SUMPRODUCT(POWER(J76,ROW(INDIRECT("1:"&amp;K76))-1)/FACT(ROW(INDIRECT("1:"&amp;K76))-1))+
  (POWER(K76,J76)/FACT(K76)*(K76/(K76-J76)))))</f>
        <v/>
      </c>
    </row>
    <row r="77">
      <c r="A77" t="inlineStr">
        <is>
          <t>Wednesday</t>
        </is>
      </c>
      <c r="B77" s="1" t="n">
        <v>45665</v>
      </c>
      <c r="C77" t="inlineStr">
        <is>
          <t>08:45-09:00</t>
        </is>
      </c>
      <c r="D77" t="n">
        <v>7</v>
      </c>
      <c r="E77" t="n">
        <v>7</v>
      </c>
      <c r="F77">
        <f>D77-E77</f>
        <v/>
      </c>
      <c r="G77" s="2">
        <f>F77/D77</f>
        <v/>
      </c>
      <c r="H77" t="n">
        <v>276</v>
      </c>
      <c r="I77" t="n">
        <v>20</v>
      </c>
      <c r="J77" s="3">
        <f>D77*H77/900</f>
        <v/>
      </c>
      <c r="K77" s="3">
        <f>ROUNDUP(J77+SQRT(J77)*1.5,0)</f>
        <v/>
      </c>
      <c r="L77" s="4">
        <f>J77/K77</f>
        <v/>
      </c>
      <c r="M77" s="3">
        <f>IF(K77&lt;=J77,"Need More Agents",(P77*H77)/(K77-J77))</f>
        <v/>
      </c>
      <c r="N77" s="4">
        <f>IF(K77&lt;=J77,0,1-(P77*EXP(-((K77-J77)*(90/H77)))))</f>
        <v/>
      </c>
      <c r="P77" s="4">
        <f t="array" ref="P77">IF(K77&lt;=J77,"Need More Agents",
  (POWER(K77,J77)/FACT(K77)*(K77/(K77-J77)))/
  (SUMPRODUCT(POWER(J77,ROW(INDIRECT("1:"&amp;K77))-1)/FACT(ROW(INDIRECT("1:"&amp;K77))-1))+
  (POWER(K77,J77)/FACT(K77)*(K77/(K77-J77)))))</f>
        <v/>
      </c>
    </row>
    <row r="78">
      <c r="A78" t="inlineStr">
        <is>
          <t>Wednesday</t>
        </is>
      </c>
      <c r="B78" s="1" t="n">
        <v>45665</v>
      </c>
      <c r="C78" t="inlineStr">
        <is>
          <t>09:00-09:15</t>
        </is>
      </c>
      <c r="D78" t="n">
        <v>21</v>
      </c>
      <c r="E78" t="n">
        <v>20</v>
      </c>
      <c r="F78">
        <f>D78-E78</f>
        <v/>
      </c>
      <c r="G78" s="2">
        <f>F78/D78</f>
        <v/>
      </c>
      <c r="H78" t="n">
        <v>270</v>
      </c>
      <c r="I78" t="n">
        <v>42</v>
      </c>
      <c r="J78" s="3">
        <f>D78*H78/900</f>
        <v/>
      </c>
      <c r="K78" s="3">
        <f>ROUNDUP(J78+SQRT(J78)*1.5,0)</f>
        <v/>
      </c>
      <c r="L78" s="4">
        <f>J78/K78</f>
        <v/>
      </c>
      <c r="M78" s="3">
        <f>IF(K78&lt;=J78,"Need More Agents",(P78*H78)/(K78-J78))</f>
        <v/>
      </c>
      <c r="N78" s="4">
        <f>IF(K78&lt;=J78,0,1-(P78*EXP(-((K78-J78)*(90/H78)))))</f>
        <v/>
      </c>
      <c r="P78" s="4">
        <f t="array" ref="P78">IF(K78&lt;=J78,"Need More Agents",
  (POWER(K78,J78)/FACT(K78)*(K78/(K78-J78)))/
  (SUMPRODUCT(POWER(J78,ROW(INDIRECT("1:"&amp;K78))-1)/FACT(ROW(INDIRECT("1:"&amp;K78))-1))+
  (POWER(K78,J78)/FACT(K78)*(K78/(K78-J78)))))</f>
        <v/>
      </c>
    </row>
    <row r="79">
      <c r="A79" t="inlineStr">
        <is>
          <t>Wednesday</t>
        </is>
      </c>
      <c r="B79" s="1" t="n">
        <v>45665</v>
      </c>
      <c r="C79" t="inlineStr">
        <is>
          <t>09:15-09:30</t>
        </is>
      </c>
      <c r="D79" t="n">
        <v>15</v>
      </c>
      <c r="E79" t="n">
        <v>15</v>
      </c>
      <c r="F79">
        <f>D79-E79</f>
        <v/>
      </c>
      <c r="G79" s="2">
        <f>F79/D79</f>
        <v/>
      </c>
      <c r="H79" t="n">
        <v>264</v>
      </c>
      <c r="I79" t="n">
        <v>28</v>
      </c>
      <c r="J79" s="3">
        <f>D79*H79/900</f>
        <v/>
      </c>
      <c r="K79" s="3">
        <f>ROUNDUP(J79+SQRT(J79)*1.5,0)</f>
        <v/>
      </c>
      <c r="L79" s="4">
        <f>J79/K79</f>
        <v/>
      </c>
      <c r="M79" s="3">
        <f>IF(K79&lt;=J79,"Need More Agents",(P79*H79)/(K79-J79))</f>
        <v/>
      </c>
      <c r="N79" s="4">
        <f>IF(K79&lt;=J79,0,1-(P79*EXP(-((K79-J79)*(90/H79)))))</f>
        <v/>
      </c>
      <c r="P79" s="4">
        <f t="array" ref="P79">IF(K79&lt;=J79,"Need More Agents",
  (POWER(K79,J79)/FACT(K79)*(K79/(K79-J79)))/
  (SUMPRODUCT(POWER(J79,ROW(INDIRECT("1:"&amp;K79))-1)/FACT(ROW(INDIRECT("1:"&amp;K79))-1))+
  (POWER(K79,J79)/FACT(K79)*(K79/(K79-J79)))))</f>
        <v/>
      </c>
    </row>
    <row r="80">
      <c r="A80" t="inlineStr">
        <is>
          <t>Wednesday</t>
        </is>
      </c>
      <c r="B80" s="1" t="n">
        <v>45665</v>
      </c>
      <c r="C80" t="inlineStr">
        <is>
          <t>09:30-09:45</t>
        </is>
      </c>
      <c r="D80" t="n">
        <v>12</v>
      </c>
      <c r="E80" t="n">
        <v>12</v>
      </c>
      <c r="F80">
        <f>D80-E80</f>
        <v/>
      </c>
      <c r="G80" s="2">
        <f>F80/D80</f>
        <v/>
      </c>
      <c r="H80" t="n">
        <v>270</v>
      </c>
      <c r="I80" t="n">
        <v>25</v>
      </c>
      <c r="J80" s="3">
        <f>D80*H80/900</f>
        <v/>
      </c>
      <c r="K80" s="3">
        <f>ROUNDUP(J80+SQRT(J80)*1.5,0)</f>
        <v/>
      </c>
      <c r="L80" s="4">
        <f>J80/K80</f>
        <v/>
      </c>
      <c r="M80" s="3">
        <f>IF(K80&lt;=J80,"Need More Agents",(P80*H80)/(K80-J80))</f>
        <v/>
      </c>
      <c r="N80" s="4">
        <f>IF(K80&lt;=J80,0,1-(P80*EXP(-((K80-J80)*(90/H80)))))</f>
        <v/>
      </c>
      <c r="P80" s="4">
        <f t="array" ref="P80">IF(K80&lt;=J80,"Need More Agents",
  (POWER(K80,J80)/FACT(K80)*(K80/(K80-J80)))/
  (SUMPRODUCT(POWER(J80,ROW(INDIRECT("1:"&amp;K80))-1)/FACT(ROW(INDIRECT("1:"&amp;K80))-1))+
  (POWER(K80,J80)/FACT(K80)*(K80/(K80-J80)))))</f>
        <v/>
      </c>
    </row>
    <row r="81">
      <c r="A81" t="inlineStr">
        <is>
          <t>Wednesday</t>
        </is>
      </c>
      <c r="B81" s="1" t="n">
        <v>45665</v>
      </c>
      <c r="C81" t="inlineStr">
        <is>
          <t>09:45-10:00</t>
        </is>
      </c>
      <c r="D81" t="n">
        <v>10</v>
      </c>
      <c r="E81" t="n">
        <v>10</v>
      </c>
      <c r="F81">
        <f>D81-E81</f>
        <v/>
      </c>
      <c r="G81" s="2">
        <f>F81/D81</f>
        <v/>
      </c>
      <c r="H81" t="n">
        <v>264</v>
      </c>
      <c r="I81" t="n">
        <v>23</v>
      </c>
      <c r="J81" s="3">
        <f>D81*H81/900</f>
        <v/>
      </c>
      <c r="K81" s="3">
        <f>ROUNDUP(J81+SQRT(J81)*1.5,0)</f>
        <v/>
      </c>
      <c r="L81" s="4">
        <f>J81/K81</f>
        <v/>
      </c>
      <c r="M81" s="3">
        <f>IF(K81&lt;=J81,"Need More Agents",(P81*H81)/(K81-J81))</f>
        <v/>
      </c>
      <c r="N81" s="4">
        <f>IF(K81&lt;=J81,0,1-(P81*EXP(-((K81-J81)*(90/H81)))))</f>
        <v/>
      </c>
      <c r="P81" s="4">
        <f t="array" ref="P81">IF(K81&lt;=J81,"Need More Agents",
  (POWER(K81,J81)/FACT(K81)*(K81/(K81-J81)))/
  (SUMPRODUCT(POWER(J81,ROW(INDIRECT("1:"&amp;K81))-1)/FACT(ROW(INDIRECT("1:"&amp;K81))-1))+
  (POWER(K81,J81)/FACT(K81)*(K81/(K81-J81)))))</f>
        <v/>
      </c>
    </row>
    <row r="82">
      <c r="A82" t="inlineStr">
        <is>
          <t>Wednesday</t>
        </is>
      </c>
      <c r="B82" s="1" t="n">
        <v>45665</v>
      </c>
      <c r="C82" t="inlineStr">
        <is>
          <t>10:00-10:15</t>
        </is>
      </c>
      <c r="D82" t="n">
        <v>27</v>
      </c>
      <c r="E82" t="n">
        <v>26</v>
      </c>
      <c r="F82">
        <f>D82-E82</f>
        <v/>
      </c>
      <c r="G82" s="2">
        <f>F82/D82</f>
        <v/>
      </c>
      <c r="H82" t="n">
        <v>276</v>
      </c>
      <c r="I82" t="n">
        <v>43</v>
      </c>
      <c r="J82" s="3">
        <f>D82*H82/900</f>
        <v/>
      </c>
      <c r="K82" s="3">
        <f>ROUNDUP(J82+SQRT(J82)*1.5,0)</f>
        <v/>
      </c>
      <c r="L82" s="4">
        <f>J82/K82</f>
        <v/>
      </c>
      <c r="M82" s="3">
        <f>IF(K82&lt;=J82,"Need More Agents",(P82*H82)/(K82-J82))</f>
        <v/>
      </c>
      <c r="N82" s="4">
        <f>IF(K82&lt;=J82,0,1-(P82*EXP(-((K82-J82)*(90/H82)))))</f>
        <v/>
      </c>
      <c r="P82" s="4">
        <f t="array" ref="P82">IF(K82&lt;=J82,"Need More Agents",
  (POWER(K82,J82)/FACT(K82)*(K82/(K82-J82)))/
  (SUMPRODUCT(POWER(J82,ROW(INDIRECT("1:"&amp;K82))-1)/FACT(ROW(INDIRECT("1:"&amp;K82))-1))+
  (POWER(K82,J82)/FACT(K82)*(K82/(K82-J82)))))</f>
        <v/>
      </c>
    </row>
    <row r="83">
      <c r="A83" t="inlineStr">
        <is>
          <t>Wednesday</t>
        </is>
      </c>
      <c r="B83" s="1" t="n">
        <v>45665</v>
      </c>
      <c r="C83" t="inlineStr">
        <is>
          <t>10:15-10:30</t>
        </is>
      </c>
      <c r="D83" t="n">
        <v>19</v>
      </c>
      <c r="E83" t="n">
        <v>19</v>
      </c>
      <c r="F83">
        <f>D83-E83</f>
        <v/>
      </c>
      <c r="G83" s="2">
        <f>F83/D83</f>
        <v/>
      </c>
      <c r="H83" t="n">
        <v>270</v>
      </c>
      <c r="I83" t="n">
        <v>32</v>
      </c>
      <c r="J83" s="3">
        <f>D83*H83/900</f>
        <v/>
      </c>
      <c r="K83" s="3">
        <f>ROUNDUP(J83+SQRT(J83)*1.5,0)</f>
        <v/>
      </c>
      <c r="L83" s="4">
        <f>J83/K83</f>
        <v/>
      </c>
      <c r="M83" s="3">
        <f>IF(K83&lt;=J83,"Need More Agents",(P83*H83)/(K83-J83))</f>
        <v/>
      </c>
      <c r="N83" s="4">
        <f>IF(K83&lt;=J83,0,1-(P83*EXP(-((K83-J83)*(90/H83)))))</f>
        <v/>
      </c>
      <c r="P83" s="4">
        <f t="array" ref="P83">IF(K83&lt;=J83,"Need More Agents",
  (POWER(K83,J83)/FACT(K83)*(K83/(K83-J83)))/
  (SUMPRODUCT(POWER(J83,ROW(INDIRECT("1:"&amp;K83))-1)/FACT(ROW(INDIRECT("1:"&amp;K83))-1))+
  (POWER(K83,J83)/FACT(K83)*(K83/(K83-J83)))))</f>
        <v/>
      </c>
    </row>
    <row r="84">
      <c r="A84" t="inlineStr">
        <is>
          <t>Wednesday</t>
        </is>
      </c>
      <c r="B84" s="1" t="n">
        <v>45665</v>
      </c>
      <c r="C84" t="inlineStr">
        <is>
          <t>10:30-10:45</t>
        </is>
      </c>
      <c r="D84" t="n">
        <v>15</v>
      </c>
      <c r="E84" t="n">
        <v>15</v>
      </c>
      <c r="F84">
        <f>D84-E84</f>
        <v/>
      </c>
      <c r="G84" s="2">
        <f>F84/D84</f>
        <v/>
      </c>
      <c r="H84" t="n">
        <v>264</v>
      </c>
      <c r="I84" t="n">
        <v>28</v>
      </c>
      <c r="J84" s="3">
        <f>D84*H84/900</f>
        <v/>
      </c>
      <c r="K84" s="3">
        <f>ROUNDUP(J84+SQRT(J84)*1.5,0)</f>
        <v/>
      </c>
      <c r="L84" s="4">
        <f>J84/K84</f>
        <v/>
      </c>
      <c r="M84" s="3">
        <f>IF(K84&lt;=J84,"Need More Agents",(P84*H84)/(K84-J84))</f>
        <v/>
      </c>
      <c r="N84" s="4">
        <f>IF(K84&lt;=J84,0,1-(P84*EXP(-((K84-J84)*(90/H84)))))</f>
        <v/>
      </c>
      <c r="P84" s="4">
        <f t="array" ref="P84">IF(K84&lt;=J84,"Need More Agents",
  (POWER(K84,J84)/FACT(K84)*(K84/(K84-J84)))/
  (SUMPRODUCT(POWER(J84,ROW(INDIRECT("1:"&amp;K84))-1)/FACT(ROW(INDIRECT("1:"&amp;K84))-1))+
  (POWER(K84,J84)/FACT(K84)*(K84/(K84-J84)))))</f>
        <v/>
      </c>
    </row>
    <row r="85">
      <c r="A85" t="inlineStr">
        <is>
          <t>Wednesday</t>
        </is>
      </c>
      <c r="B85" s="1" t="n">
        <v>45665</v>
      </c>
      <c r="C85" t="inlineStr">
        <is>
          <t>10:45-11:00</t>
        </is>
      </c>
      <c r="D85" t="n">
        <v>12</v>
      </c>
      <c r="E85" t="n">
        <v>12</v>
      </c>
      <c r="F85">
        <f>D85-E85</f>
        <v/>
      </c>
      <c r="G85" s="2">
        <f>F85/D85</f>
        <v/>
      </c>
      <c r="H85" t="n">
        <v>270</v>
      </c>
      <c r="I85" t="n">
        <v>25</v>
      </c>
      <c r="J85" s="3">
        <f>D85*H85/900</f>
        <v/>
      </c>
      <c r="K85" s="3">
        <f>ROUNDUP(J85+SQRT(J85)*1.5,0)</f>
        <v/>
      </c>
      <c r="L85" s="4">
        <f>J85/K85</f>
        <v/>
      </c>
      <c r="M85" s="3">
        <f>IF(K85&lt;=J85,"Need More Agents",(P85*H85)/(K85-J85))</f>
        <v/>
      </c>
      <c r="N85" s="4">
        <f>IF(K85&lt;=J85,0,1-(P85*EXP(-((K85-J85)*(90/H85)))))</f>
        <v/>
      </c>
      <c r="P85" s="4">
        <f t="array" ref="P85">IF(K85&lt;=J85,"Need More Agents",
  (POWER(K85,J85)/FACT(K85)*(K85/(K85-J85)))/
  (SUMPRODUCT(POWER(J85,ROW(INDIRECT("1:"&amp;K85))-1)/FACT(ROW(INDIRECT("1:"&amp;K85))-1))+
  (POWER(K85,J85)/FACT(K85)*(K85/(K85-J85)))))</f>
        <v/>
      </c>
    </row>
    <row r="86">
      <c r="A86" t="inlineStr">
        <is>
          <t>Wednesday</t>
        </is>
      </c>
      <c r="B86" s="1" t="n">
        <v>45665</v>
      </c>
      <c r="C86" t="inlineStr">
        <is>
          <t>11:00-11:15</t>
        </is>
      </c>
      <c r="D86" t="n">
        <v>25</v>
      </c>
      <c r="E86" t="n">
        <v>24</v>
      </c>
      <c r="F86">
        <f>D86-E86</f>
        <v/>
      </c>
      <c r="G86" s="2">
        <f>F86/D86</f>
        <v/>
      </c>
      <c r="H86" t="n">
        <v>276</v>
      </c>
      <c r="I86" t="n">
        <v>42</v>
      </c>
      <c r="J86" s="3">
        <f>D86*H86/900</f>
        <v/>
      </c>
      <c r="K86" s="3">
        <f>ROUNDUP(J86+SQRT(J86)*1.5,0)</f>
        <v/>
      </c>
      <c r="L86" s="4">
        <f>J86/K86</f>
        <v/>
      </c>
      <c r="M86" s="3">
        <f>IF(K86&lt;=J86,"Need More Agents",(P86*H86)/(K86-J86))</f>
        <v/>
      </c>
      <c r="N86" s="4">
        <f>IF(K86&lt;=J86,0,1-(P86*EXP(-((K86-J86)*(90/H86)))))</f>
        <v/>
      </c>
      <c r="P86" s="4">
        <f t="array" ref="P86">IF(K86&lt;=J86,"Need More Agents",
  (POWER(K86,J86)/FACT(K86)*(K86/(K86-J86)))/
  (SUMPRODUCT(POWER(J86,ROW(INDIRECT("1:"&amp;K86))-1)/FACT(ROW(INDIRECT("1:"&amp;K86))-1))+
  (POWER(K86,J86)/FACT(K86)*(K86/(K86-J86)))))</f>
        <v/>
      </c>
    </row>
    <row r="87">
      <c r="A87" t="inlineStr">
        <is>
          <t>Wednesday</t>
        </is>
      </c>
      <c r="B87" s="1" t="n">
        <v>45665</v>
      </c>
      <c r="C87" t="inlineStr">
        <is>
          <t>11:15-11:30</t>
        </is>
      </c>
      <c r="D87" t="n">
        <v>18</v>
      </c>
      <c r="E87" t="n">
        <v>18</v>
      </c>
      <c r="F87">
        <f>D87-E87</f>
        <v/>
      </c>
      <c r="G87" s="2">
        <f>F87/D87</f>
        <v/>
      </c>
      <c r="H87" t="n">
        <v>270</v>
      </c>
      <c r="I87" t="n">
        <v>32</v>
      </c>
      <c r="J87" s="3">
        <f>D87*H87/900</f>
        <v/>
      </c>
      <c r="K87" s="3">
        <f>ROUNDUP(J87+SQRT(J87)*1.5,0)</f>
        <v/>
      </c>
      <c r="L87" s="4">
        <f>J87/K87</f>
        <v/>
      </c>
      <c r="M87" s="3">
        <f>IF(K87&lt;=J87,"Need More Agents",(P87*H87)/(K87-J87))</f>
        <v/>
      </c>
      <c r="N87" s="4">
        <f>IF(K87&lt;=J87,0,1-(P87*EXP(-((K87-J87)*(90/H87)))))</f>
        <v/>
      </c>
      <c r="P87" s="4">
        <f t="array" ref="P87">IF(K87&lt;=J87,"Need More Agents",
  (POWER(K87,J87)/FACT(K87)*(K87/(K87-J87)))/
  (SUMPRODUCT(POWER(J87,ROW(INDIRECT("1:"&amp;K87))-1)/FACT(ROW(INDIRECT("1:"&amp;K87))-1))+
  (POWER(K87,J87)/FACT(K87)*(K87/(K87-J87)))))</f>
        <v/>
      </c>
    </row>
    <row r="88">
      <c r="A88" t="inlineStr">
        <is>
          <t>Wednesday</t>
        </is>
      </c>
      <c r="B88" s="1" t="n">
        <v>45665</v>
      </c>
      <c r="C88" t="inlineStr">
        <is>
          <t>11:30-11:45</t>
        </is>
      </c>
      <c r="D88" t="n">
        <v>14</v>
      </c>
      <c r="E88" t="n">
        <v>14</v>
      </c>
      <c r="F88">
        <f>D88-E88</f>
        <v/>
      </c>
      <c r="G88" s="2">
        <f>F88/D88</f>
        <v/>
      </c>
      <c r="H88" t="n">
        <v>264</v>
      </c>
      <c r="I88" t="n">
        <v>27</v>
      </c>
      <c r="J88" s="3">
        <f>D88*H88/900</f>
        <v/>
      </c>
      <c r="K88" s="3">
        <f>ROUNDUP(J88+SQRT(J88)*1.5,0)</f>
        <v/>
      </c>
      <c r="L88" s="4">
        <f>J88/K88</f>
        <v/>
      </c>
      <c r="M88" s="3">
        <f>IF(K88&lt;=J88,"Need More Agents",(P88*H88)/(K88-J88))</f>
        <v/>
      </c>
      <c r="N88" s="4">
        <f>IF(K88&lt;=J88,0,1-(P88*EXP(-((K88-J88)*(90/H88)))))</f>
        <v/>
      </c>
      <c r="P88" s="4">
        <f t="array" ref="P88">IF(K88&lt;=J88,"Need More Agents",
  (POWER(K88,J88)/FACT(K88)*(K88/(K88-J88)))/
  (SUMPRODUCT(POWER(J88,ROW(INDIRECT("1:"&amp;K88))-1)/FACT(ROW(INDIRECT("1:"&amp;K88))-1))+
  (POWER(K88,J88)/FACT(K88)*(K88/(K88-J88)))))</f>
        <v/>
      </c>
    </row>
    <row r="89">
      <c r="A89" t="inlineStr">
        <is>
          <t>Wednesday</t>
        </is>
      </c>
      <c r="B89" s="1" t="n">
        <v>45665</v>
      </c>
      <c r="C89" t="inlineStr">
        <is>
          <t>11:45-12:00</t>
        </is>
      </c>
      <c r="D89" t="n">
        <v>11</v>
      </c>
      <c r="E89" t="n">
        <v>11</v>
      </c>
      <c r="F89">
        <f>D89-E89</f>
        <v/>
      </c>
      <c r="G89" s="2">
        <f>F89/D89</f>
        <v/>
      </c>
      <c r="H89" t="n">
        <v>270</v>
      </c>
      <c r="I89" t="n">
        <v>24</v>
      </c>
      <c r="J89" s="3">
        <f>D89*H89/900</f>
        <v/>
      </c>
      <c r="K89" s="3">
        <f>ROUNDUP(J89+SQRT(J89)*1.5,0)</f>
        <v/>
      </c>
      <c r="L89" s="4">
        <f>J89/K89</f>
        <v/>
      </c>
      <c r="M89" s="3">
        <f>IF(K89&lt;=J89,"Need More Agents",(P89*H89)/(K89-J89))</f>
        <v/>
      </c>
      <c r="N89" s="4">
        <f>IF(K89&lt;=J89,0,1-(P89*EXP(-((K89-J89)*(90/H89)))))</f>
        <v/>
      </c>
      <c r="P89" s="4">
        <f t="array" ref="P89">IF(K89&lt;=J89,"Need More Agents",
  (POWER(K89,J89)/FACT(K89)*(K89/(K89-J89)))/
  (SUMPRODUCT(POWER(J89,ROW(INDIRECT("1:"&amp;K89))-1)/FACT(ROW(INDIRECT("1:"&amp;K89))-1))+
  (POWER(K89,J89)/FACT(K89)*(K89/(K89-J89)))))</f>
        <v/>
      </c>
    </row>
    <row r="90">
      <c r="A90" t="inlineStr">
        <is>
          <t>Wednesday</t>
        </is>
      </c>
      <c r="B90" s="1" t="n">
        <v>45665</v>
      </c>
      <c r="C90" t="inlineStr">
        <is>
          <t>12:00-12:15</t>
        </is>
      </c>
      <c r="D90" t="n">
        <v>17</v>
      </c>
      <c r="E90" t="n">
        <v>16</v>
      </c>
      <c r="F90">
        <f>D90-E90</f>
        <v/>
      </c>
      <c r="G90" s="2">
        <f>F90/D90</f>
        <v/>
      </c>
      <c r="H90" t="n">
        <v>264</v>
      </c>
      <c r="I90" t="n">
        <v>39</v>
      </c>
      <c r="J90" s="3">
        <f>D90*H90/900</f>
        <v/>
      </c>
      <c r="K90" s="3">
        <f>ROUNDUP(J90+SQRT(J90)*1.5,0)</f>
        <v/>
      </c>
      <c r="L90" s="4">
        <f>J90/K90</f>
        <v/>
      </c>
      <c r="M90" s="3">
        <f>IF(K90&lt;=J90,"Need More Agents",(P90*H90)/(K90-J90))</f>
        <v/>
      </c>
      <c r="N90" s="4">
        <f>IF(K90&lt;=J90,0,1-(P90*EXP(-((K90-J90)*(90/H90)))))</f>
        <v/>
      </c>
      <c r="P90" s="4">
        <f t="array" ref="P90">IF(K90&lt;=J90,"Need More Agents",
  (POWER(K90,J90)/FACT(K90)*(K90/(K90-J90)))/
  (SUMPRODUCT(POWER(J90,ROW(INDIRECT("1:"&amp;K90))-1)/FACT(ROW(INDIRECT("1:"&amp;K90))-1))+
  (POWER(K90,J90)/FACT(K90)*(K90/(K90-J90)))))</f>
        <v/>
      </c>
    </row>
    <row r="91">
      <c r="A91" t="inlineStr">
        <is>
          <t>Wednesday</t>
        </is>
      </c>
      <c r="B91" s="1" t="n">
        <v>45665</v>
      </c>
      <c r="C91" t="inlineStr">
        <is>
          <t>12:15-12:30</t>
        </is>
      </c>
      <c r="D91" t="n">
        <v>12</v>
      </c>
      <c r="E91" t="n">
        <v>12</v>
      </c>
      <c r="F91">
        <f>D91-E91</f>
        <v/>
      </c>
      <c r="G91" s="2">
        <f>F91/D91</f>
        <v/>
      </c>
      <c r="H91" t="n">
        <v>270</v>
      </c>
      <c r="I91" t="n">
        <v>25</v>
      </c>
      <c r="J91" s="3">
        <f>D91*H91/900</f>
        <v/>
      </c>
      <c r="K91" s="3">
        <f>ROUNDUP(J91+SQRT(J91)*1.5,0)</f>
        <v/>
      </c>
      <c r="L91" s="4">
        <f>J91/K91</f>
        <v/>
      </c>
      <c r="M91" s="3">
        <f>IF(K91&lt;=J91,"Need More Agents",(P91*H91)/(K91-J91))</f>
        <v/>
      </c>
      <c r="N91" s="4">
        <f>IF(K91&lt;=J91,0,1-(P91*EXP(-((K91-J91)*(90/H91)))))</f>
        <v/>
      </c>
      <c r="P91" s="4">
        <f t="array" ref="P91">IF(K91&lt;=J91,"Need More Agents",
  (POWER(K91,J91)/FACT(K91)*(K91/(K91-J91)))/
  (SUMPRODUCT(POWER(J91,ROW(INDIRECT("1:"&amp;K91))-1)/FACT(ROW(INDIRECT("1:"&amp;K91))-1))+
  (POWER(K91,J91)/FACT(K91)*(K91/(K91-J91)))))</f>
        <v/>
      </c>
    </row>
    <row r="92">
      <c r="A92" t="inlineStr">
        <is>
          <t>Wednesday</t>
        </is>
      </c>
      <c r="B92" s="1" t="n">
        <v>45665</v>
      </c>
      <c r="C92" t="inlineStr">
        <is>
          <t>12:30-12:45</t>
        </is>
      </c>
      <c r="D92" t="n">
        <v>9</v>
      </c>
      <c r="E92" t="n">
        <v>9</v>
      </c>
      <c r="F92">
        <f>D92-E92</f>
        <v/>
      </c>
      <c r="G92" s="2">
        <f>F92/D92</f>
        <v/>
      </c>
      <c r="H92" t="n">
        <v>264</v>
      </c>
      <c r="I92" t="n">
        <v>22</v>
      </c>
      <c r="J92" s="3">
        <f>D92*H92/900</f>
        <v/>
      </c>
      <c r="K92" s="3">
        <f>ROUNDUP(J92+SQRT(J92)*1.5,0)</f>
        <v/>
      </c>
      <c r="L92" s="4">
        <f>J92/K92</f>
        <v/>
      </c>
      <c r="M92" s="3">
        <f>IF(K92&lt;=J92,"Need More Agents",(P92*H92)/(K92-J92))</f>
        <v/>
      </c>
      <c r="N92" s="4">
        <f>IF(K92&lt;=J92,0,1-(P92*EXP(-((K92-J92)*(90/H92)))))</f>
        <v/>
      </c>
      <c r="P92" s="4">
        <f t="array" ref="P92">IF(K92&lt;=J92,"Need More Agents",
  (POWER(K92,J92)/FACT(K92)*(K92/(K92-J92)))/
  (SUMPRODUCT(POWER(J92,ROW(INDIRECT("1:"&amp;K92))-1)/FACT(ROW(INDIRECT("1:"&amp;K92))-1))+
  (POWER(K92,J92)/FACT(K92)*(K92/(K92-J92)))))</f>
        <v/>
      </c>
    </row>
    <row r="93">
      <c r="A93" t="inlineStr">
        <is>
          <t>Wednesday</t>
        </is>
      </c>
      <c r="B93" s="1" t="n">
        <v>45665</v>
      </c>
      <c r="C93" t="inlineStr">
        <is>
          <t>12:45-13:00</t>
        </is>
      </c>
      <c r="D93" t="n">
        <v>8</v>
      </c>
      <c r="E93" t="n">
        <v>8</v>
      </c>
      <c r="F93">
        <f>D93-E93</f>
        <v/>
      </c>
      <c r="G93" s="2">
        <f>F93/D93</f>
        <v/>
      </c>
      <c r="H93" t="n">
        <v>270</v>
      </c>
      <c r="I93" t="n">
        <v>21</v>
      </c>
      <c r="J93" s="3">
        <f>D93*H93/900</f>
        <v/>
      </c>
      <c r="K93" s="3">
        <f>ROUNDUP(J93+SQRT(J93)*1.5,0)</f>
        <v/>
      </c>
      <c r="L93" s="4">
        <f>J93/K93</f>
        <v/>
      </c>
      <c r="M93" s="3">
        <f>IF(K93&lt;=J93,"Need More Agents",(P93*H93)/(K93-J93))</f>
        <v/>
      </c>
      <c r="N93" s="4">
        <f>IF(K93&lt;=J93,0,1-(P93*EXP(-((K93-J93)*(90/H93)))))</f>
        <v/>
      </c>
      <c r="P93" s="4">
        <f t="array" ref="P93">IF(K93&lt;=J93,"Need More Agents",
  (POWER(K93,J93)/FACT(K93)*(K93/(K93-J93)))/
  (SUMPRODUCT(POWER(J93,ROW(INDIRECT("1:"&amp;K93))-1)/FACT(ROW(INDIRECT("1:"&amp;K93))-1))+
  (POWER(K93,J93)/FACT(K93)*(K93/(K93-J93)))))</f>
        <v/>
      </c>
    </row>
    <row r="94">
      <c r="A94" t="inlineStr">
        <is>
          <t>Wednesday</t>
        </is>
      </c>
      <c r="B94" s="1" t="n">
        <v>45665</v>
      </c>
      <c r="C94" t="inlineStr">
        <is>
          <t>13:00-13:15</t>
        </is>
      </c>
      <c r="D94" t="n">
        <v>20</v>
      </c>
      <c r="E94" t="n">
        <v>19</v>
      </c>
      <c r="F94">
        <f>D94-E94</f>
        <v/>
      </c>
      <c r="G94" s="2">
        <f>F94/D94</f>
        <v/>
      </c>
      <c r="H94" t="n">
        <v>276</v>
      </c>
      <c r="I94" t="n">
        <v>41</v>
      </c>
      <c r="J94" s="3">
        <f>D94*H94/900</f>
        <v/>
      </c>
      <c r="K94" s="3">
        <f>ROUNDUP(J94+SQRT(J94)*1.5,0)</f>
        <v/>
      </c>
      <c r="L94" s="4">
        <f>J94/K94</f>
        <v/>
      </c>
      <c r="M94" s="3">
        <f>IF(K94&lt;=J94,"Need More Agents",(P94*H94)/(K94-J94))</f>
        <v/>
      </c>
      <c r="N94" s="4">
        <f>IF(K94&lt;=J94,0,1-(P94*EXP(-((K94-J94)*(90/H94)))))</f>
        <v/>
      </c>
      <c r="P94" s="4">
        <f t="array" ref="P94">IF(K94&lt;=J94,"Need More Agents",
  (POWER(K94,J94)/FACT(K94)*(K94/(K94-J94)))/
  (SUMPRODUCT(POWER(J94,ROW(INDIRECT("1:"&amp;K94))-1)/FACT(ROW(INDIRECT("1:"&amp;K94))-1))+
  (POWER(K94,J94)/FACT(K94)*(K94/(K94-J94)))))</f>
        <v/>
      </c>
    </row>
    <row r="95">
      <c r="A95" t="inlineStr">
        <is>
          <t>Wednesday</t>
        </is>
      </c>
      <c r="B95" s="1" t="n">
        <v>45665</v>
      </c>
      <c r="C95" t="inlineStr">
        <is>
          <t>13:15-13:30</t>
        </is>
      </c>
      <c r="D95" t="n">
        <v>14</v>
      </c>
      <c r="E95" t="n">
        <v>14</v>
      </c>
      <c r="F95">
        <f>D95-E95</f>
        <v/>
      </c>
      <c r="G95" s="2">
        <f>F95/D95</f>
        <v/>
      </c>
      <c r="H95" t="n">
        <v>270</v>
      </c>
      <c r="I95" t="n">
        <v>27</v>
      </c>
      <c r="J95" s="3">
        <f>D95*H95/900</f>
        <v/>
      </c>
      <c r="K95" s="3">
        <f>ROUNDUP(J95+SQRT(J95)*1.5,0)</f>
        <v/>
      </c>
      <c r="L95" s="4">
        <f>J95/K95</f>
        <v/>
      </c>
      <c r="M95" s="3">
        <f>IF(K95&lt;=J95,"Need More Agents",(P95*H95)/(K95-J95))</f>
        <v/>
      </c>
      <c r="N95" s="4">
        <f>IF(K95&lt;=J95,0,1-(P95*EXP(-((K95-J95)*(90/H95)))))</f>
        <v/>
      </c>
      <c r="P95" s="4">
        <f t="array" ref="P95">IF(K95&lt;=J95,"Need More Agents",
  (POWER(K95,J95)/FACT(K95)*(K95/(K95-J95)))/
  (SUMPRODUCT(POWER(J95,ROW(INDIRECT("1:"&amp;K95))-1)/FACT(ROW(INDIRECT("1:"&amp;K95))-1))+
  (POWER(K95,J95)/FACT(K95)*(K95/(K95-J95)))))</f>
        <v/>
      </c>
    </row>
    <row r="96">
      <c r="A96" t="inlineStr">
        <is>
          <t>Wednesday</t>
        </is>
      </c>
      <c r="B96" s="1" t="n">
        <v>45665</v>
      </c>
      <c r="C96" t="inlineStr">
        <is>
          <t>13:30-13:45</t>
        </is>
      </c>
      <c r="D96" t="n">
        <v>12</v>
      </c>
      <c r="E96" t="n">
        <v>12</v>
      </c>
      <c r="F96">
        <f>D96-E96</f>
        <v/>
      </c>
      <c r="G96" s="2">
        <f>F96/D96</f>
        <v/>
      </c>
      <c r="H96" t="n">
        <v>264</v>
      </c>
      <c r="I96" t="n">
        <v>25</v>
      </c>
      <c r="J96" s="3">
        <f>D96*H96/900</f>
        <v/>
      </c>
      <c r="K96" s="3">
        <f>ROUNDUP(J96+SQRT(J96)*1.5,0)</f>
        <v/>
      </c>
      <c r="L96" s="4">
        <f>J96/K96</f>
        <v/>
      </c>
      <c r="M96" s="3">
        <f>IF(K96&lt;=J96,"Need More Agents",(P96*H96)/(K96-J96))</f>
        <v/>
      </c>
      <c r="N96" s="4">
        <f>IF(K96&lt;=J96,0,1-(P96*EXP(-((K96-J96)*(90/H96)))))</f>
        <v/>
      </c>
      <c r="P96" s="4">
        <f t="array" ref="P96">IF(K96&lt;=J96,"Need More Agents",
  (POWER(K96,J96)/FACT(K96)*(K96/(K96-J96)))/
  (SUMPRODUCT(POWER(J96,ROW(INDIRECT("1:"&amp;K96))-1)/FACT(ROW(INDIRECT("1:"&amp;K96))-1))+
  (POWER(K96,J96)/FACT(K96)*(K96/(K96-J96)))))</f>
        <v/>
      </c>
    </row>
    <row r="97">
      <c r="A97" t="inlineStr">
        <is>
          <t>Wednesday</t>
        </is>
      </c>
      <c r="B97" s="1" t="n">
        <v>45665</v>
      </c>
      <c r="C97" t="inlineStr">
        <is>
          <t>13:45-14:00</t>
        </is>
      </c>
      <c r="D97" t="n">
        <v>9</v>
      </c>
      <c r="E97" t="n">
        <v>9</v>
      </c>
      <c r="F97">
        <f>D97-E97</f>
        <v/>
      </c>
      <c r="G97" s="2">
        <f>F97/D97</f>
        <v/>
      </c>
      <c r="H97" t="n">
        <v>270</v>
      </c>
      <c r="I97" t="n">
        <v>22</v>
      </c>
      <c r="J97" s="3">
        <f>D97*H97/900</f>
        <v/>
      </c>
      <c r="K97" s="3">
        <f>ROUNDUP(J97+SQRT(J97)*1.5,0)</f>
        <v/>
      </c>
      <c r="L97" s="4">
        <f>J97/K97</f>
        <v/>
      </c>
      <c r="M97" s="3">
        <f>IF(K97&lt;=J97,"Need More Agents",(P97*H97)/(K97-J97))</f>
        <v/>
      </c>
      <c r="N97" s="4">
        <f>IF(K97&lt;=J97,0,1-(P97*EXP(-((K97-J97)*(90/H97)))))</f>
        <v/>
      </c>
      <c r="P97" s="4">
        <f t="array" ref="P97">IF(K97&lt;=J97,"Need More Agents",
  (POWER(K97,J97)/FACT(K97)*(K97/(K97-J97)))/
  (SUMPRODUCT(POWER(J97,ROW(INDIRECT("1:"&amp;K97))-1)/FACT(ROW(INDIRECT("1:"&amp;K97))-1))+
  (POWER(K97,J97)/FACT(K97)*(K97/(K97-J97)))))</f>
        <v/>
      </c>
    </row>
    <row r="98">
      <c r="A98" t="inlineStr">
        <is>
          <t>Wednesday</t>
        </is>
      </c>
      <c r="B98" s="1" t="n">
        <v>45665</v>
      </c>
      <c r="C98" t="inlineStr">
        <is>
          <t>14:00-14:15</t>
        </is>
      </c>
      <c r="D98" t="n">
        <v>23</v>
      </c>
      <c r="E98" t="n">
        <v>22</v>
      </c>
      <c r="F98">
        <f>D98-E98</f>
        <v/>
      </c>
      <c r="G98" s="2">
        <f>F98/D98</f>
        <v/>
      </c>
      <c r="H98" t="n">
        <v>276</v>
      </c>
      <c r="I98" t="n">
        <v>42</v>
      </c>
      <c r="J98" s="3">
        <f>D98*H98/900</f>
        <v/>
      </c>
      <c r="K98" s="3">
        <f>ROUNDUP(J98+SQRT(J98)*1.5,0)</f>
        <v/>
      </c>
      <c r="L98" s="4">
        <f>J98/K98</f>
        <v/>
      </c>
      <c r="M98" s="3">
        <f>IF(K98&lt;=J98,"Need More Agents",(P98*H98)/(K98-J98))</f>
        <v/>
      </c>
      <c r="N98" s="4">
        <f>IF(K98&lt;=J98,0,1-(P98*EXP(-((K98-J98)*(90/H98)))))</f>
        <v/>
      </c>
      <c r="P98" s="4">
        <f t="array" ref="P98">IF(K98&lt;=J98,"Need More Agents",
  (POWER(K98,J98)/FACT(K98)*(K98/(K98-J98)))/
  (SUMPRODUCT(POWER(J98,ROW(INDIRECT("1:"&amp;K98))-1)/FACT(ROW(INDIRECT("1:"&amp;K98))-1))+
  (POWER(K98,J98)/FACT(K98)*(K98/(K98-J98)))))</f>
        <v/>
      </c>
    </row>
    <row r="99">
      <c r="A99" t="inlineStr">
        <is>
          <t>Wednesday</t>
        </is>
      </c>
      <c r="B99" s="1" t="n">
        <v>45665</v>
      </c>
      <c r="C99" t="inlineStr">
        <is>
          <t>14:15-14:30</t>
        </is>
      </c>
      <c r="D99" t="n">
        <v>16</v>
      </c>
      <c r="E99" t="n">
        <v>16</v>
      </c>
      <c r="F99">
        <f>D99-E99</f>
        <v/>
      </c>
      <c r="G99" s="2">
        <f>F99/D99</f>
        <v/>
      </c>
      <c r="H99" t="n">
        <v>270</v>
      </c>
      <c r="I99" t="n">
        <v>30</v>
      </c>
      <c r="J99" s="3">
        <f>D99*H99/900</f>
        <v/>
      </c>
      <c r="K99" s="3">
        <f>ROUNDUP(J99+SQRT(J99)*1.5,0)</f>
        <v/>
      </c>
      <c r="L99" s="4">
        <f>J99/K99</f>
        <v/>
      </c>
      <c r="M99" s="3">
        <f>IF(K99&lt;=J99,"Need More Agents",(P99*H99)/(K99-J99))</f>
        <v/>
      </c>
      <c r="N99" s="4">
        <f>IF(K99&lt;=J99,0,1-(P99*EXP(-((K99-J99)*(90/H99)))))</f>
        <v/>
      </c>
      <c r="P99" s="4">
        <f t="array" ref="P99">IF(K99&lt;=J99,"Need More Agents",
  (POWER(K99,J99)/FACT(K99)*(K99/(K99-J99)))/
  (SUMPRODUCT(POWER(J99,ROW(INDIRECT("1:"&amp;K99))-1)/FACT(ROW(INDIRECT("1:"&amp;K99))-1))+
  (POWER(K99,J99)/FACT(K99)*(K99/(K99-J99)))))</f>
        <v/>
      </c>
    </row>
    <row r="100">
      <c r="A100" t="inlineStr">
        <is>
          <t>Wednesday</t>
        </is>
      </c>
      <c r="B100" s="1" t="n">
        <v>45665</v>
      </c>
      <c r="C100" t="inlineStr">
        <is>
          <t>14:30-14:45</t>
        </is>
      </c>
      <c r="D100" t="n">
        <v>13</v>
      </c>
      <c r="E100" t="n">
        <v>13</v>
      </c>
      <c r="F100">
        <f>D100-E100</f>
        <v/>
      </c>
      <c r="G100" s="2">
        <f>F100/D100</f>
        <v/>
      </c>
      <c r="H100" t="n">
        <v>264</v>
      </c>
      <c r="I100" t="n">
        <v>27</v>
      </c>
      <c r="J100" s="3">
        <f>D100*H100/900</f>
        <v/>
      </c>
      <c r="K100" s="3">
        <f>ROUNDUP(J100+SQRT(J100)*1.5,0)</f>
        <v/>
      </c>
      <c r="L100" s="4">
        <f>J100/K100</f>
        <v/>
      </c>
      <c r="M100" s="3">
        <f>IF(K100&lt;=J100,"Need More Agents",(P100*H100)/(K100-J100))</f>
        <v/>
      </c>
      <c r="N100" s="4">
        <f>IF(K100&lt;=J100,0,1-(P100*EXP(-((K100-J100)*(90/H100)))))</f>
        <v/>
      </c>
      <c r="P100" s="4">
        <f t="array" ref="P100">IF(K100&lt;=J100,"Need More Agents",
  (POWER(K100,J100)/FACT(K100)*(K100/(K100-J100)))/
  (SUMPRODUCT(POWER(J100,ROW(INDIRECT("1:"&amp;K100))-1)/FACT(ROW(INDIRECT("1:"&amp;K100))-1))+
  (POWER(K100,J100)/FACT(K100)*(K100/(K100-J100)))))</f>
        <v/>
      </c>
    </row>
    <row r="101">
      <c r="A101" t="inlineStr">
        <is>
          <t>Wednesday</t>
        </is>
      </c>
      <c r="B101" s="1" t="n">
        <v>45665</v>
      </c>
      <c r="C101" t="inlineStr">
        <is>
          <t>14:45-15:00</t>
        </is>
      </c>
      <c r="D101" t="n">
        <v>11</v>
      </c>
      <c r="E101" t="n">
        <v>11</v>
      </c>
      <c r="F101">
        <f>D101-E101</f>
        <v/>
      </c>
      <c r="G101" s="2">
        <f>F101/D101</f>
        <v/>
      </c>
      <c r="H101" t="n">
        <v>270</v>
      </c>
      <c r="I101" t="n">
        <v>24</v>
      </c>
      <c r="J101" s="3">
        <f>D101*H101/900</f>
        <v/>
      </c>
      <c r="K101" s="3">
        <f>ROUNDUP(J101+SQRT(J101)*1.5,0)</f>
        <v/>
      </c>
      <c r="L101" s="4">
        <f>J101/K101</f>
        <v/>
      </c>
      <c r="M101" s="3">
        <f>IF(K101&lt;=J101,"Need More Agents",(P101*H101)/(K101-J101))</f>
        <v/>
      </c>
      <c r="N101" s="4">
        <f>IF(K101&lt;=J101,0,1-(P101*EXP(-((K101-J101)*(90/H101)))))</f>
        <v/>
      </c>
      <c r="P101" s="4">
        <f t="array" ref="P101">IF(K101&lt;=J101,"Need More Agents",
  (POWER(K101,J101)/FACT(K101)*(K101/(K101-J101)))/
  (SUMPRODUCT(POWER(J101,ROW(INDIRECT("1:"&amp;K101))-1)/FACT(ROW(INDIRECT("1:"&amp;K101))-1))+
  (POWER(K101,J101)/FACT(K101)*(K101/(K101-J101)))))</f>
        <v/>
      </c>
    </row>
    <row r="102">
      <c r="A102" t="inlineStr">
        <is>
          <t>Wednesday</t>
        </is>
      </c>
      <c r="B102" s="1" t="n">
        <v>45665</v>
      </c>
      <c r="C102" t="inlineStr">
        <is>
          <t>15:00-15:15</t>
        </is>
      </c>
      <c r="D102" t="n">
        <v>18</v>
      </c>
      <c r="E102" t="n">
        <v>17</v>
      </c>
      <c r="F102">
        <f>D102-E102</f>
        <v/>
      </c>
      <c r="G102" s="2">
        <f>F102/D102</f>
        <v/>
      </c>
      <c r="H102" t="n">
        <v>270</v>
      </c>
      <c r="I102" t="n">
        <v>40</v>
      </c>
      <c r="J102" s="3">
        <f>D102*H102/900</f>
        <v/>
      </c>
      <c r="K102" s="3">
        <f>ROUNDUP(J102+SQRT(J102)*1.5,0)</f>
        <v/>
      </c>
      <c r="L102" s="4">
        <f>J102/K102</f>
        <v/>
      </c>
      <c r="M102" s="3">
        <f>IF(K102&lt;=J102,"Need More Agents",(P102*H102)/(K102-J102))</f>
        <v/>
      </c>
      <c r="N102" s="4">
        <f>IF(K102&lt;=J102,0,1-(P102*EXP(-((K102-J102)*(90/H102)))))</f>
        <v/>
      </c>
      <c r="P102" s="4">
        <f t="array" ref="P102">IF(K102&lt;=J102,"Need More Agents",
  (POWER(K102,J102)/FACT(K102)*(K102/(K102-J102)))/
  (SUMPRODUCT(POWER(J102,ROW(INDIRECT("1:"&amp;K102))-1)/FACT(ROW(INDIRECT("1:"&amp;K102))-1))+
  (POWER(K102,J102)/FACT(K102)*(K102/(K102-J102)))))</f>
        <v/>
      </c>
    </row>
    <row r="103">
      <c r="A103" t="inlineStr">
        <is>
          <t>Wednesday</t>
        </is>
      </c>
      <c r="B103" s="1" t="n">
        <v>45665</v>
      </c>
      <c r="C103" t="inlineStr">
        <is>
          <t>15:15-15:30</t>
        </is>
      </c>
      <c r="D103" t="n">
        <v>13</v>
      </c>
      <c r="E103" t="n">
        <v>13</v>
      </c>
      <c r="F103">
        <f>D103-E103</f>
        <v/>
      </c>
      <c r="G103" s="2">
        <f>F103/D103</f>
        <v/>
      </c>
      <c r="H103" t="n">
        <v>264</v>
      </c>
      <c r="I103" t="n">
        <v>27</v>
      </c>
      <c r="J103" s="3">
        <f>D103*H103/900</f>
        <v/>
      </c>
      <c r="K103" s="3">
        <f>ROUNDUP(J103+SQRT(J103)*1.5,0)</f>
        <v/>
      </c>
      <c r="L103" s="4">
        <f>J103/K103</f>
        <v/>
      </c>
      <c r="M103" s="3">
        <f>IF(K103&lt;=J103,"Need More Agents",(P103*H103)/(K103-J103))</f>
        <v/>
      </c>
      <c r="N103" s="4">
        <f>IF(K103&lt;=J103,0,1-(P103*EXP(-((K103-J103)*(90/H103)))))</f>
        <v/>
      </c>
      <c r="P103" s="4">
        <f t="array" ref="P103">IF(K103&lt;=J103,"Need More Agents",
  (POWER(K103,J103)/FACT(K103)*(K103/(K103-J103)))/
  (SUMPRODUCT(POWER(J103,ROW(INDIRECT("1:"&amp;K103))-1)/FACT(ROW(INDIRECT("1:"&amp;K103))-1))+
  (POWER(K103,J103)/FACT(K103)*(K103/(K103-J103)))))</f>
        <v/>
      </c>
    </row>
    <row r="104">
      <c r="A104" t="inlineStr">
        <is>
          <t>Wednesday</t>
        </is>
      </c>
      <c r="B104" s="1" t="n">
        <v>45665</v>
      </c>
      <c r="C104" t="inlineStr">
        <is>
          <t>15:30-15:45</t>
        </is>
      </c>
      <c r="D104" t="n">
        <v>10</v>
      </c>
      <c r="E104" t="n">
        <v>10</v>
      </c>
      <c r="F104">
        <f>D104-E104</f>
        <v/>
      </c>
      <c r="G104" s="2">
        <f>F104/D104</f>
        <v/>
      </c>
      <c r="H104" t="n">
        <v>270</v>
      </c>
      <c r="I104" t="n">
        <v>23</v>
      </c>
      <c r="J104" s="3">
        <f>D104*H104/900</f>
        <v/>
      </c>
      <c r="K104" s="3">
        <f>ROUNDUP(J104+SQRT(J104)*1.5,0)</f>
        <v/>
      </c>
      <c r="L104" s="4">
        <f>J104/K104</f>
        <v/>
      </c>
      <c r="M104" s="3">
        <f>IF(K104&lt;=J104,"Need More Agents",(P104*H104)/(K104-J104))</f>
        <v/>
      </c>
      <c r="N104" s="4">
        <f>IF(K104&lt;=J104,0,1-(P104*EXP(-((K104-J104)*(90/H104)))))</f>
        <v/>
      </c>
      <c r="P104" s="4">
        <f t="array" ref="P104">IF(K104&lt;=J104,"Need More Agents",
  (POWER(K104,J104)/FACT(K104)*(K104/(K104-J104)))/
  (SUMPRODUCT(POWER(J104,ROW(INDIRECT("1:"&amp;K104))-1)/FACT(ROW(INDIRECT("1:"&amp;K104))-1))+
  (POWER(K104,J104)/FACT(K104)*(K104/(K104-J104)))))</f>
        <v/>
      </c>
    </row>
    <row r="105">
      <c r="A105" t="inlineStr">
        <is>
          <t>Wednesday</t>
        </is>
      </c>
      <c r="B105" s="1" t="n">
        <v>45665</v>
      </c>
      <c r="C105" t="inlineStr">
        <is>
          <t>15:45-16:00</t>
        </is>
      </c>
      <c r="D105" t="n">
        <v>8</v>
      </c>
      <c r="E105" t="n">
        <v>8</v>
      </c>
      <c r="F105">
        <f>D105-E105</f>
        <v/>
      </c>
      <c r="G105" s="2">
        <f>F105/D105</f>
        <v/>
      </c>
      <c r="H105" t="n">
        <v>264</v>
      </c>
      <c r="I105" t="n">
        <v>21</v>
      </c>
      <c r="J105" s="3">
        <f>D105*H105/900</f>
        <v/>
      </c>
      <c r="K105" s="3">
        <f>ROUNDUP(J105+SQRT(J105)*1.5,0)</f>
        <v/>
      </c>
      <c r="L105" s="4">
        <f>J105/K105</f>
        <v/>
      </c>
      <c r="M105" s="3">
        <f>IF(K105&lt;=J105,"Need More Agents",(P105*H105)/(K105-J105))</f>
        <v/>
      </c>
      <c r="N105" s="4">
        <f>IF(K105&lt;=J105,0,1-(P105*EXP(-((K105-J105)*(90/H105)))))</f>
        <v/>
      </c>
      <c r="P105" s="4">
        <f t="array" ref="P105">IF(K105&lt;=J105,"Need More Agents",
  (POWER(K105,J105)/FACT(K105)*(K105/(K105-J105)))/
  (SUMPRODUCT(POWER(J105,ROW(INDIRECT("1:"&amp;K105))-1)/FACT(ROW(INDIRECT("1:"&amp;K105))-1))+
  (POWER(K105,J105)/FACT(K105)*(K105/(K105-J105)))))</f>
        <v/>
      </c>
    </row>
    <row r="106">
      <c r="A106" t="inlineStr">
        <is>
          <t>Wednesday</t>
        </is>
      </c>
      <c r="B106" s="1" t="n">
        <v>45665</v>
      </c>
      <c r="C106" t="inlineStr">
        <is>
          <t>16:00-16:15</t>
        </is>
      </c>
      <c r="D106" t="n">
        <v>15</v>
      </c>
      <c r="E106" t="n">
        <v>14</v>
      </c>
      <c r="F106">
        <f>D106-E106</f>
        <v/>
      </c>
      <c r="G106" s="2">
        <f>F106/D106</f>
        <v/>
      </c>
      <c r="H106" t="n">
        <v>276</v>
      </c>
      <c r="I106" t="n">
        <v>45</v>
      </c>
      <c r="J106" s="3">
        <f>D106*H106/900</f>
        <v/>
      </c>
      <c r="K106" s="3">
        <f>ROUNDUP(J106+SQRT(J106)*1.5,0)</f>
        <v/>
      </c>
      <c r="L106" s="4">
        <f>J106/K106</f>
        <v/>
      </c>
      <c r="M106" s="3">
        <f>IF(K106&lt;=J106,"Need More Agents",(P106*H106)/(K106-J106))</f>
        <v/>
      </c>
      <c r="N106" s="4">
        <f>IF(K106&lt;=J106,0,1-(P106*EXP(-((K106-J106)*(90/H106)))))</f>
        <v/>
      </c>
      <c r="P106" s="4">
        <f t="array" ref="P106">IF(K106&lt;=J106,"Need More Agents",
  (POWER(K106,J106)/FACT(K106)*(K106/(K106-J106)))/
  (SUMPRODUCT(POWER(J106,ROW(INDIRECT("1:"&amp;K106))-1)/FACT(ROW(INDIRECT("1:"&amp;K106))-1))+
  (POWER(K106,J106)/FACT(K106)*(K106/(K106-J106)))))</f>
        <v/>
      </c>
    </row>
    <row r="107">
      <c r="A107" t="inlineStr">
        <is>
          <t>Wednesday</t>
        </is>
      </c>
      <c r="B107" s="1" t="n">
        <v>45665</v>
      </c>
      <c r="C107" t="inlineStr">
        <is>
          <t>16:15-16:30</t>
        </is>
      </c>
      <c r="D107" t="n">
        <v>10</v>
      </c>
      <c r="E107" t="n">
        <v>10</v>
      </c>
      <c r="F107">
        <f>D107-E107</f>
        <v/>
      </c>
      <c r="G107" s="2">
        <f>F107/D107</f>
        <v/>
      </c>
      <c r="H107" t="n">
        <v>270</v>
      </c>
      <c r="I107" t="n">
        <v>24</v>
      </c>
      <c r="J107" s="3">
        <f>D107*H107/900</f>
        <v/>
      </c>
      <c r="K107" s="3">
        <f>ROUNDUP(J107+SQRT(J107)*1.5,0)</f>
        <v/>
      </c>
      <c r="L107" s="4">
        <f>J107/K107</f>
        <v/>
      </c>
      <c r="M107" s="3">
        <f>IF(K107&lt;=J107,"Need More Agents",(P107*H107)/(K107-J107))</f>
        <v/>
      </c>
      <c r="N107" s="4">
        <f>IF(K107&lt;=J107,0,1-(P107*EXP(-((K107-J107)*(90/H107)))))</f>
        <v/>
      </c>
      <c r="P107" s="4">
        <f t="array" ref="P107">IF(K107&lt;=J107,"Need More Agents",
  (POWER(K107,J107)/FACT(K107)*(K107/(K107-J107)))/
  (SUMPRODUCT(POWER(J107,ROW(INDIRECT("1:"&amp;K107))-1)/FACT(ROW(INDIRECT("1:"&amp;K107))-1))+
  (POWER(K107,J107)/FACT(K107)*(K107/(K107-J107)))))</f>
        <v/>
      </c>
    </row>
    <row r="108">
      <c r="A108" t="inlineStr">
        <is>
          <t>Wednesday</t>
        </is>
      </c>
      <c r="B108" s="1" t="n">
        <v>45665</v>
      </c>
      <c r="C108" t="inlineStr">
        <is>
          <t>16:30-16:45</t>
        </is>
      </c>
      <c r="D108" t="n">
        <v>8</v>
      </c>
      <c r="E108" t="n">
        <v>8</v>
      </c>
      <c r="F108">
        <f>D108-E108</f>
        <v/>
      </c>
      <c r="G108" s="2">
        <f>F108/D108</f>
        <v/>
      </c>
      <c r="H108" t="n">
        <v>264</v>
      </c>
      <c r="I108" t="n">
        <v>21</v>
      </c>
      <c r="J108" s="3">
        <f>D108*H108/900</f>
        <v/>
      </c>
      <c r="K108" s="3">
        <f>ROUNDUP(J108+SQRT(J108)*1.5,0)</f>
        <v/>
      </c>
      <c r="L108" s="4">
        <f>J108/K108</f>
        <v/>
      </c>
      <c r="M108" s="3">
        <f>IF(K108&lt;=J108,"Need More Agents",(P108*H108)/(K108-J108))</f>
        <v/>
      </c>
      <c r="N108" s="4">
        <f>IF(K108&lt;=J108,0,1-(P108*EXP(-((K108-J108)*(90/H108)))))</f>
        <v/>
      </c>
      <c r="P108" s="4">
        <f t="array" ref="P108">IF(K108&lt;=J108,"Need More Agents",
  (POWER(K108,J108)/FACT(K108)*(K108/(K108-J108)))/
  (SUMPRODUCT(POWER(J108,ROW(INDIRECT("1:"&amp;K108))-1)/FACT(ROW(INDIRECT("1:"&amp;K108))-1))+
  (POWER(K108,J108)/FACT(K108)*(K108/(K108-J108)))))</f>
        <v/>
      </c>
    </row>
    <row r="109">
      <c r="A109" t="inlineStr">
        <is>
          <t>Wednesday</t>
        </is>
      </c>
      <c r="B109" s="1" t="n">
        <v>45665</v>
      </c>
      <c r="C109" t="inlineStr">
        <is>
          <t>16:45-17:00</t>
        </is>
      </c>
      <c r="D109" t="n">
        <v>6</v>
      </c>
      <c r="E109" t="n">
        <v>6</v>
      </c>
      <c r="F109">
        <f>D109-E109</f>
        <v/>
      </c>
      <c r="G109" s="2">
        <f>F109/D109</f>
        <v/>
      </c>
      <c r="H109" t="n">
        <v>270</v>
      </c>
      <c r="I109" t="n">
        <v>19</v>
      </c>
      <c r="J109" s="3">
        <f>D109*H109/900</f>
        <v/>
      </c>
      <c r="K109" s="3">
        <f>ROUNDUP(J109+SQRT(J109)*1.5,0)</f>
        <v/>
      </c>
      <c r="L109" s="4">
        <f>J109/K109</f>
        <v/>
      </c>
      <c r="M109" s="3">
        <f>IF(K109&lt;=J109,"Need More Agents",(P109*H109)/(K109-J109))</f>
        <v/>
      </c>
      <c r="N109" s="4">
        <f>IF(K109&lt;=J109,0,1-(P109*EXP(-((K109-J109)*(90/H109)))))</f>
        <v/>
      </c>
      <c r="P109" s="4">
        <f t="array" ref="P109">IF(K109&lt;=J109,"Need More Agents",
  (POWER(K109,J109)/FACT(K109)*(K109/(K109-J109)))/
  (SUMPRODUCT(POWER(J109,ROW(INDIRECT("1:"&amp;K109))-1)/FACT(ROW(INDIRECT("1:"&amp;K109))-1))+
  (POWER(K109,J109)/FACT(K109)*(K109/(K109-J109)))))</f>
        <v/>
      </c>
    </row>
    <row r="110">
      <c r="A110" t="inlineStr">
        <is>
          <t>Thursday</t>
        </is>
      </c>
      <c r="B110" s="1" t="n">
        <v>45666</v>
      </c>
      <c r="C110" t="inlineStr">
        <is>
          <t>08:00-08:15</t>
        </is>
      </c>
      <c r="D110" t="n">
        <v>16</v>
      </c>
      <c r="E110" t="n">
        <v>15</v>
      </c>
      <c r="F110">
        <f>D110-E110</f>
        <v/>
      </c>
      <c r="G110" s="2">
        <f>F110/D110</f>
        <v/>
      </c>
      <c r="H110" t="n">
        <v>264</v>
      </c>
      <c r="I110" t="n">
        <v>47</v>
      </c>
      <c r="J110" s="3">
        <f>D110*H110/900</f>
        <v/>
      </c>
      <c r="K110" s="3">
        <f>ROUNDUP(J110+SQRT(J110)*1.5,0)</f>
        <v/>
      </c>
      <c r="L110" s="4">
        <f>J110/K110</f>
        <v/>
      </c>
      <c r="M110" s="3">
        <f>IF(K110&lt;=J110,"Need More Agents",(P110*H110)/(K110-J110))</f>
        <v/>
      </c>
      <c r="N110" s="4">
        <f>IF(K110&lt;=J110,0,1-(P110*EXP(-((K110-J110)*(90/H110)))))</f>
        <v/>
      </c>
      <c r="P110" s="4">
        <f t="array" ref="P110">IF(K110&lt;=J110,"Need More Agents",
  (POWER(K110,J110)/FACT(K110)*(K110/(K110-J110)))/
  (SUMPRODUCT(POWER(J110,ROW(INDIRECT("1:"&amp;K110))-1)/FACT(ROW(INDIRECT("1:"&amp;K110))-1))+
  (POWER(K110,J110)/FACT(K110)*(K110/(K110-J110)))))</f>
        <v/>
      </c>
    </row>
    <row r="111">
      <c r="A111" t="inlineStr">
        <is>
          <t>Thursday</t>
        </is>
      </c>
      <c r="B111" s="1" t="n">
        <v>45666</v>
      </c>
      <c r="C111" t="inlineStr">
        <is>
          <t>08:15-08:30</t>
        </is>
      </c>
      <c r="D111" t="n">
        <v>12</v>
      </c>
      <c r="E111" t="n">
        <v>12</v>
      </c>
      <c r="F111">
        <f>D111-E111</f>
        <v/>
      </c>
      <c r="G111" s="2">
        <f>F111/D111</f>
        <v/>
      </c>
      <c r="H111" t="n">
        <v>270</v>
      </c>
      <c r="I111" t="n">
        <v>25</v>
      </c>
      <c r="J111" s="3">
        <f>D111*H111/900</f>
        <v/>
      </c>
      <c r="K111" s="3">
        <f>ROUNDUP(J111+SQRT(J111)*1.5,0)</f>
        <v/>
      </c>
      <c r="L111" s="4">
        <f>J111/K111</f>
        <v/>
      </c>
      <c r="M111" s="3">
        <f>IF(K111&lt;=J111,"Need More Agents",(P111*H111)/(K111-J111))</f>
        <v/>
      </c>
      <c r="N111" s="4">
        <f>IF(K111&lt;=J111,0,1-(P111*EXP(-((K111-J111)*(90/H111)))))</f>
        <v/>
      </c>
      <c r="P111" s="4">
        <f t="array" ref="P111">IF(K111&lt;=J111,"Need More Agents",
  (POWER(K111,J111)/FACT(K111)*(K111/(K111-J111)))/
  (SUMPRODUCT(POWER(J111,ROW(INDIRECT("1:"&amp;K111))-1)/FACT(ROW(INDIRECT("1:"&amp;K111))-1))+
  (POWER(K111,J111)/FACT(K111)*(K111/(K111-J111)))))</f>
        <v/>
      </c>
    </row>
    <row r="112">
      <c r="A112" t="inlineStr">
        <is>
          <t>Thursday</t>
        </is>
      </c>
      <c r="B112" s="1" t="n">
        <v>45666</v>
      </c>
      <c r="C112" t="inlineStr">
        <is>
          <t>08:30-08:45</t>
        </is>
      </c>
      <c r="D112" t="n">
        <v>9</v>
      </c>
      <c r="E112" t="n">
        <v>9</v>
      </c>
      <c r="F112">
        <f>D112-E112</f>
        <v/>
      </c>
      <c r="G112" s="2">
        <f>F112/D112</f>
        <v/>
      </c>
      <c r="H112" t="n">
        <v>264</v>
      </c>
      <c r="I112" t="n">
        <v>22</v>
      </c>
      <c r="J112" s="3">
        <f>D112*H112/900</f>
        <v/>
      </c>
      <c r="K112" s="3">
        <f>ROUNDUP(J112+SQRT(J112)*1.5,0)</f>
        <v/>
      </c>
      <c r="L112" s="4">
        <f>J112/K112</f>
        <v/>
      </c>
      <c r="M112" s="3">
        <f>IF(K112&lt;=J112,"Need More Agents",(P112*H112)/(K112-J112))</f>
        <v/>
      </c>
      <c r="N112" s="4">
        <f>IF(K112&lt;=J112,0,1-(P112*EXP(-((K112-J112)*(90/H112)))))</f>
        <v/>
      </c>
      <c r="P112" s="4">
        <f t="array" ref="P112">IF(K112&lt;=J112,"Need More Agents",
  (POWER(K112,J112)/FACT(K112)*(K112/(K112-J112)))/
  (SUMPRODUCT(POWER(J112,ROW(INDIRECT("1:"&amp;K112))-1)/FACT(ROW(INDIRECT("1:"&amp;K112))-1))+
  (POWER(K112,J112)/FACT(K112)*(K112/(K112-J112)))))</f>
        <v/>
      </c>
    </row>
    <row r="113">
      <c r="A113" t="inlineStr">
        <is>
          <t>Thursday</t>
        </is>
      </c>
      <c r="B113" s="1" t="n">
        <v>45666</v>
      </c>
      <c r="C113" t="inlineStr">
        <is>
          <t>08:45-09:00</t>
        </is>
      </c>
      <c r="D113" t="n">
        <v>8</v>
      </c>
      <c r="E113" t="n">
        <v>8</v>
      </c>
      <c r="F113">
        <f>D113-E113</f>
        <v/>
      </c>
      <c r="G113" s="2">
        <f>F113/D113</f>
        <v/>
      </c>
      <c r="H113" t="n">
        <v>276</v>
      </c>
      <c r="I113" t="n">
        <v>21</v>
      </c>
      <c r="J113" s="3">
        <f>D113*H113/900</f>
        <v/>
      </c>
      <c r="K113" s="3">
        <f>ROUNDUP(J113+SQRT(J113)*1.5,0)</f>
        <v/>
      </c>
      <c r="L113" s="4">
        <f>J113/K113</f>
        <v/>
      </c>
      <c r="M113" s="3">
        <f>IF(K113&lt;=J113,"Need More Agents",(P113*H113)/(K113-J113))</f>
        <v/>
      </c>
      <c r="N113" s="4">
        <f>IF(K113&lt;=J113,0,1-(P113*EXP(-((K113-J113)*(90/H113)))))</f>
        <v/>
      </c>
      <c r="P113" s="4">
        <f t="array" ref="P113">IF(K113&lt;=J113,"Need More Agents",
  (POWER(K113,J113)/FACT(K113)*(K113/(K113-J113)))/
  (SUMPRODUCT(POWER(J113,ROW(INDIRECT("1:"&amp;K113))-1)/FACT(ROW(INDIRECT("1:"&amp;K113))-1))+
  (POWER(K113,J113)/FACT(K113)*(K113/(K113-J113)))))</f>
        <v/>
      </c>
    </row>
    <row r="114">
      <c r="A114" t="inlineStr">
        <is>
          <t>Thursday</t>
        </is>
      </c>
      <c r="B114" s="1" t="n">
        <v>45666</v>
      </c>
      <c r="C114" t="inlineStr">
        <is>
          <t>09:00-09:15</t>
        </is>
      </c>
      <c r="D114" t="n">
        <v>24</v>
      </c>
      <c r="E114" t="n">
        <v>23</v>
      </c>
      <c r="F114">
        <f>D114-E114</f>
        <v/>
      </c>
      <c r="G114" s="2">
        <f>F114/D114</f>
        <v/>
      </c>
      <c r="H114" t="n">
        <v>270</v>
      </c>
      <c r="I114" t="n">
        <v>43</v>
      </c>
      <c r="J114" s="3">
        <f>D114*H114/900</f>
        <v/>
      </c>
      <c r="K114" s="3">
        <f>ROUNDUP(J114+SQRT(J114)*1.5,0)</f>
        <v/>
      </c>
      <c r="L114" s="4">
        <f>J114/K114</f>
        <v/>
      </c>
      <c r="M114" s="3">
        <f>IF(K114&lt;=J114,"Need More Agents",(P114*H114)/(K114-J114))</f>
        <v/>
      </c>
      <c r="N114" s="4">
        <f>IF(K114&lt;=J114,0,1-(P114*EXP(-((K114-J114)*(90/H114)))))</f>
        <v/>
      </c>
      <c r="P114" s="4">
        <f t="array" ref="P114">IF(K114&lt;=J114,"Need More Agents",
  (POWER(K114,J114)/FACT(K114)*(K114/(K114-J114)))/
  (SUMPRODUCT(POWER(J114,ROW(INDIRECT("1:"&amp;K114))-1)/FACT(ROW(INDIRECT("1:"&amp;K114))-1))+
  (POWER(K114,J114)/FACT(K114)*(K114/(K114-J114)))))</f>
        <v/>
      </c>
    </row>
    <row r="115">
      <c r="A115" t="inlineStr">
        <is>
          <t>Thursday</t>
        </is>
      </c>
      <c r="B115" s="1" t="n">
        <v>45666</v>
      </c>
      <c r="C115" t="inlineStr">
        <is>
          <t>09:15-09:30</t>
        </is>
      </c>
      <c r="D115" t="n">
        <v>17</v>
      </c>
      <c r="E115" t="n">
        <v>17</v>
      </c>
      <c r="F115">
        <f>D115-E115</f>
        <v/>
      </c>
      <c r="G115" s="2">
        <f>F115/D115</f>
        <v/>
      </c>
      <c r="H115" t="n">
        <v>264</v>
      </c>
      <c r="I115" t="n">
        <v>31</v>
      </c>
      <c r="J115" s="3">
        <f>D115*H115/900</f>
        <v/>
      </c>
      <c r="K115" s="3">
        <f>ROUNDUP(J115+SQRT(J115)*1.5,0)</f>
        <v/>
      </c>
      <c r="L115" s="4">
        <f>J115/K115</f>
        <v/>
      </c>
      <c r="M115" s="3">
        <f>IF(K115&lt;=J115,"Need More Agents",(P115*H115)/(K115-J115))</f>
        <v/>
      </c>
      <c r="N115" s="4">
        <f>IF(K115&lt;=J115,0,1-(P115*EXP(-((K115-J115)*(90/H115)))))</f>
        <v/>
      </c>
      <c r="P115" s="4">
        <f t="array" ref="P115">IF(K115&lt;=J115,"Need More Agents",
  (POWER(K115,J115)/FACT(K115)*(K115/(K115-J115)))/
  (SUMPRODUCT(POWER(J115,ROW(INDIRECT("1:"&amp;K115))-1)/FACT(ROW(INDIRECT("1:"&amp;K115))-1))+
  (POWER(K115,J115)/FACT(K115)*(K115/(K115-J115)))))</f>
        <v/>
      </c>
    </row>
    <row r="116">
      <c r="A116" t="inlineStr">
        <is>
          <t>Thursday</t>
        </is>
      </c>
      <c r="B116" s="1" t="n">
        <v>45666</v>
      </c>
      <c r="C116" t="inlineStr">
        <is>
          <t>09:30-09:45</t>
        </is>
      </c>
      <c r="D116" t="n">
        <v>13</v>
      </c>
      <c r="E116" t="n">
        <v>13</v>
      </c>
      <c r="F116">
        <f>D116-E116</f>
        <v/>
      </c>
      <c r="G116" s="2">
        <f>F116/D116</f>
        <v/>
      </c>
      <c r="H116" t="n">
        <v>270</v>
      </c>
      <c r="I116" t="n">
        <v>27</v>
      </c>
      <c r="J116" s="3">
        <f>D116*H116/900</f>
        <v/>
      </c>
      <c r="K116" s="3">
        <f>ROUNDUP(J116+SQRT(J116)*1.5,0)</f>
        <v/>
      </c>
      <c r="L116" s="4">
        <f>J116/K116</f>
        <v/>
      </c>
      <c r="M116" s="3">
        <f>IF(K116&lt;=J116,"Need More Agents",(P116*H116)/(K116-J116))</f>
        <v/>
      </c>
      <c r="N116" s="4">
        <f>IF(K116&lt;=J116,0,1-(P116*EXP(-((K116-J116)*(90/H116)))))</f>
        <v/>
      </c>
      <c r="P116" s="4">
        <f t="array" ref="P116">IF(K116&lt;=J116,"Need More Agents",
  (POWER(K116,J116)/FACT(K116)*(K116/(K116-J116)))/
  (SUMPRODUCT(POWER(J116,ROW(INDIRECT("1:"&amp;K116))-1)/FACT(ROW(INDIRECT("1:"&amp;K116))-1))+
  (POWER(K116,J116)/FACT(K116)*(K116/(K116-J116)))))</f>
        <v/>
      </c>
    </row>
    <row r="117">
      <c r="A117" t="inlineStr">
        <is>
          <t>Thursday</t>
        </is>
      </c>
      <c r="B117" s="1" t="n">
        <v>45666</v>
      </c>
      <c r="C117" t="inlineStr">
        <is>
          <t>09:45-10:00</t>
        </is>
      </c>
      <c r="D117" t="n">
        <v>11</v>
      </c>
      <c r="E117" t="n">
        <v>11</v>
      </c>
      <c r="F117">
        <f>D117-E117</f>
        <v/>
      </c>
      <c r="G117" s="2">
        <f>F117/D117</f>
        <v/>
      </c>
      <c r="H117" t="n">
        <v>264</v>
      </c>
      <c r="I117" t="n">
        <v>24</v>
      </c>
      <c r="J117" s="3">
        <f>D117*H117/900</f>
        <v/>
      </c>
      <c r="K117" s="3">
        <f>ROUNDUP(J117+SQRT(J117)*1.5,0)</f>
        <v/>
      </c>
      <c r="L117" s="4">
        <f>J117/K117</f>
        <v/>
      </c>
      <c r="M117" s="3">
        <f>IF(K117&lt;=J117,"Need More Agents",(P117*H117)/(K117-J117))</f>
        <v/>
      </c>
      <c r="N117" s="4">
        <f>IF(K117&lt;=J117,0,1-(P117*EXP(-((K117-J117)*(90/H117)))))</f>
        <v/>
      </c>
      <c r="P117" s="4">
        <f t="array" ref="P117">IF(K117&lt;=J117,"Need More Agents",
  (POWER(K117,J117)/FACT(K117)*(K117/(K117-J117)))/
  (SUMPRODUCT(POWER(J117,ROW(INDIRECT("1:"&amp;K117))-1)/FACT(ROW(INDIRECT("1:"&amp;K117))-1))+
  (POWER(K117,J117)/FACT(K117)*(K117/(K117-J117)))))</f>
        <v/>
      </c>
    </row>
    <row r="118">
      <c r="A118" t="inlineStr">
        <is>
          <t>Thursday</t>
        </is>
      </c>
      <c r="B118" s="1" t="n">
        <v>45666</v>
      </c>
      <c r="C118" t="inlineStr">
        <is>
          <t>10:00-10:15</t>
        </is>
      </c>
      <c r="D118" t="n">
        <v>28</v>
      </c>
      <c r="E118" t="n">
        <v>27</v>
      </c>
      <c r="F118">
        <f>D118-E118</f>
        <v/>
      </c>
      <c r="G118" s="2">
        <f>F118/D118</f>
        <v/>
      </c>
      <c r="H118" t="n">
        <v>276</v>
      </c>
      <c r="I118" t="n">
        <v>44</v>
      </c>
      <c r="J118" s="3">
        <f>D118*H118/900</f>
        <v/>
      </c>
      <c r="K118" s="3">
        <f>ROUNDUP(J118+SQRT(J118)*1.5,0)</f>
        <v/>
      </c>
      <c r="L118" s="4">
        <f>J118/K118</f>
        <v/>
      </c>
      <c r="M118" s="3">
        <f>IF(K118&lt;=J118,"Need More Agents",(P118*H118)/(K118-J118))</f>
        <v/>
      </c>
      <c r="N118" s="4">
        <f>IF(K118&lt;=J118,0,1-(P118*EXP(-((K118-J118)*(90/H118)))))</f>
        <v/>
      </c>
      <c r="P118" s="4">
        <f t="array" ref="P118">IF(K118&lt;=J118,"Need More Agents",
  (POWER(K118,J118)/FACT(K118)*(K118/(K118-J118)))/
  (SUMPRODUCT(POWER(J118,ROW(INDIRECT("1:"&amp;K118))-1)/FACT(ROW(INDIRECT("1:"&amp;K118))-1))+
  (POWER(K118,J118)/FACT(K118)*(K118/(K118-J118)))))</f>
        <v/>
      </c>
    </row>
    <row r="119">
      <c r="A119" t="inlineStr">
        <is>
          <t>Thursday</t>
        </is>
      </c>
      <c r="B119" s="1" t="n">
        <v>45666</v>
      </c>
      <c r="C119" t="inlineStr">
        <is>
          <t>10:15-10:30</t>
        </is>
      </c>
      <c r="D119" t="n">
        <v>20</v>
      </c>
      <c r="E119" t="n">
        <v>20</v>
      </c>
      <c r="F119">
        <f>D119-E119</f>
        <v/>
      </c>
      <c r="G119" s="2">
        <f>F119/D119</f>
        <v/>
      </c>
      <c r="H119" t="n">
        <v>270</v>
      </c>
      <c r="I119" t="n">
        <v>34</v>
      </c>
      <c r="J119" s="3">
        <f>D119*H119/900</f>
        <v/>
      </c>
      <c r="K119" s="3">
        <f>ROUNDUP(J119+SQRT(J119)*1.5,0)</f>
        <v/>
      </c>
      <c r="L119" s="4">
        <f>J119/K119</f>
        <v/>
      </c>
      <c r="M119" s="3">
        <f>IF(K119&lt;=J119,"Need More Agents",(P119*H119)/(K119-J119))</f>
        <v/>
      </c>
      <c r="N119" s="4">
        <f>IF(K119&lt;=J119,0,1-(P119*EXP(-((K119-J119)*(90/H119)))))</f>
        <v/>
      </c>
      <c r="P119" s="4">
        <f t="array" ref="P119">IF(K119&lt;=J119,"Need More Agents",
  (POWER(K119,J119)/FACT(K119)*(K119/(K119-J119)))/
  (SUMPRODUCT(POWER(J119,ROW(INDIRECT("1:"&amp;K119))-1)/FACT(ROW(INDIRECT("1:"&amp;K119))-1))+
  (POWER(K119,J119)/FACT(K119)*(K119/(K119-J119)))))</f>
        <v/>
      </c>
    </row>
    <row r="120">
      <c r="A120" t="inlineStr">
        <is>
          <t>Thursday</t>
        </is>
      </c>
      <c r="B120" s="1" t="n">
        <v>45666</v>
      </c>
      <c r="C120" t="inlineStr">
        <is>
          <t>10:30-10:45</t>
        </is>
      </c>
      <c r="D120" t="n">
        <v>16</v>
      </c>
      <c r="E120" t="n">
        <v>16</v>
      </c>
      <c r="F120">
        <f>D120-E120</f>
        <v/>
      </c>
      <c r="G120" s="2">
        <f>F120/D120</f>
        <v/>
      </c>
      <c r="H120" t="n">
        <v>264</v>
      </c>
      <c r="I120" t="n">
        <v>30</v>
      </c>
      <c r="J120" s="3">
        <f>D120*H120/900</f>
        <v/>
      </c>
      <c r="K120" s="3">
        <f>ROUNDUP(J120+SQRT(J120)*1.5,0)</f>
        <v/>
      </c>
      <c r="L120" s="4">
        <f>J120/K120</f>
        <v/>
      </c>
      <c r="M120" s="3">
        <f>IF(K120&lt;=J120,"Need More Agents",(P120*H120)/(K120-J120))</f>
        <v/>
      </c>
      <c r="N120" s="4">
        <f>IF(K120&lt;=J120,0,1-(P120*EXP(-((K120-J120)*(90/H120)))))</f>
        <v/>
      </c>
      <c r="P120" s="4">
        <f t="array" ref="P120">IF(K120&lt;=J120,"Need More Agents",
  (POWER(K120,J120)/FACT(K120)*(K120/(K120-J120)))/
  (SUMPRODUCT(POWER(J120,ROW(INDIRECT("1:"&amp;K120))-1)/FACT(ROW(INDIRECT("1:"&amp;K120))-1))+
  (POWER(K120,J120)/FACT(K120)*(K120/(K120-J120)))))</f>
        <v/>
      </c>
    </row>
    <row r="121">
      <c r="A121" t="inlineStr">
        <is>
          <t>Thursday</t>
        </is>
      </c>
      <c r="B121" s="1" t="n">
        <v>45666</v>
      </c>
      <c r="C121" t="inlineStr">
        <is>
          <t>10:45-11:00</t>
        </is>
      </c>
      <c r="D121" t="n">
        <v>13</v>
      </c>
      <c r="E121" t="n">
        <v>13</v>
      </c>
      <c r="F121">
        <f>D121-E121</f>
        <v/>
      </c>
      <c r="G121" s="2">
        <f>F121/D121</f>
        <v/>
      </c>
      <c r="H121" t="n">
        <v>270</v>
      </c>
      <c r="I121" t="n">
        <v>26</v>
      </c>
      <c r="J121" s="3">
        <f>D121*H121/900</f>
        <v/>
      </c>
      <c r="K121" s="3">
        <f>ROUNDUP(J121+SQRT(J121)*1.5,0)</f>
        <v/>
      </c>
      <c r="L121" s="4">
        <f>J121/K121</f>
        <v/>
      </c>
      <c r="M121" s="3">
        <f>IF(K121&lt;=J121,"Need More Agents",(P121*H121)/(K121-J121))</f>
        <v/>
      </c>
      <c r="N121" s="4">
        <f>IF(K121&lt;=J121,0,1-(P121*EXP(-((K121-J121)*(90/H121)))))</f>
        <v/>
      </c>
      <c r="P121" s="4">
        <f t="array" ref="P121">IF(K121&lt;=J121,"Need More Agents",
  (POWER(K121,J121)/FACT(K121)*(K121/(K121-J121)))/
  (SUMPRODUCT(POWER(J121,ROW(INDIRECT("1:"&amp;K121))-1)/FACT(ROW(INDIRECT("1:"&amp;K121))-1))+
  (POWER(K121,J121)/FACT(K121)*(K121/(K121-J121)))))</f>
        <v/>
      </c>
    </row>
    <row r="122">
      <c r="A122" t="inlineStr">
        <is>
          <t>Thursday</t>
        </is>
      </c>
      <c r="B122" s="1" t="n">
        <v>45666</v>
      </c>
      <c r="C122" t="inlineStr">
        <is>
          <t>11:00-11:15</t>
        </is>
      </c>
      <c r="D122" t="n">
        <v>26</v>
      </c>
      <c r="E122" t="n">
        <v>25</v>
      </c>
      <c r="F122">
        <f>D122-E122</f>
        <v/>
      </c>
      <c r="G122" s="2">
        <f>F122/D122</f>
        <v/>
      </c>
      <c r="H122" t="n">
        <v>276</v>
      </c>
      <c r="I122" t="n">
        <v>43</v>
      </c>
      <c r="J122" s="3">
        <f>D122*H122/900</f>
        <v/>
      </c>
      <c r="K122" s="3">
        <f>ROUNDUP(J122+SQRT(J122)*1.5,0)</f>
        <v/>
      </c>
      <c r="L122" s="4">
        <f>J122/K122</f>
        <v/>
      </c>
      <c r="M122" s="3">
        <f>IF(K122&lt;=J122,"Need More Agents",(P122*H122)/(K122-J122))</f>
        <v/>
      </c>
      <c r="N122" s="4">
        <f>IF(K122&lt;=J122,0,1-(P122*EXP(-((K122-J122)*(90/H122)))))</f>
        <v/>
      </c>
      <c r="P122" s="4">
        <f t="array" ref="P122">IF(K122&lt;=J122,"Need More Agents",
  (POWER(K122,J122)/FACT(K122)*(K122/(K122-J122)))/
  (SUMPRODUCT(POWER(J122,ROW(INDIRECT("1:"&amp;K122))-1)/FACT(ROW(INDIRECT("1:"&amp;K122))-1))+
  (POWER(K122,J122)/FACT(K122)*(K122/(K122-J122)))))</f>
        <v/>
      </c>
    </row>
    <row r="123">
      <c r="A123" t="inlineStr">
        <is>
          <t>Thursday</t>
        </is>
      </c>
      <c r="B123" s="1" t="n">
        <v>45666</v>
      </c>
      <c r="C123" t="inlineStr">
        <is>
          <t>11:15-11:30</t>
        </is>
      </c>
      <c r="D123" t="n">
        <v>18</v>
      </c>
      <c r="E123" t="n">
        <v>18</v>
      </c>
      <c r="F123">
        <f>D123-E123</f>
        <v/>
      </c>
      <c r="G123" s="2">
        <f>F123/D123</f>
        <v/>
      </c>
      <c r="H123" t="n">
        <v>270</v>
      </c>
      <c r="I123" t="n">
        <v>32</v>
      </c>
      <c r="J123" s="3">
        <f>D123*H123/900</f>
        <v/>
      </c>
      <c r="K123" s="3">
        <f>ROUNDUP(J123+SQRT(J123)*1.5,0)</f>
        <v/>
      </c>
      <c r="L123" s="4">
        <f>J123/K123</f>
        <v/>
      </c>
      <c r="M123" s="3">
        <f>IF(K123&lt;=J123,"Need More Agents",(P123*H123)/(K123-J123))</f>
        <v/>
      </c>
      <c r="N123" s="4">
        <f>IF(K123&lt;=J123,0,1-(P123*EXP(-((K123-J123)*(90/H123)))))</f>
        <v/>
      </c>
      <c r="P123" s="4">
        <f t="array" ref="P123">IF(K123&lt;=J123,"Need More Agents",
  (POWER(K123,J123)/FACT(K123)*(K123/(K123-J123)))/
  (SUMPRODUCT(POWER(J123,ROW(INDIRECT("1:"&amp;K123))-1)/FACT(ROW(INDIRECT("1:"&amp;K123))-1))+
  (POWER(K123,J123)/FACT(K123)*(K123/(K123-J123)))))</f>
        <v/>
      </c>
    </row>
    <row r="124">
      <c r="A124" t="inlineStr">
        <is>
          <t>Thursday</t>
        </is>
      </c>
      <c r="B124" s="1" t="n">
        <v>45666</v>
      </c>
      <c r="C124" t="inlineStr">
        <is>
          <t>11:30-11:45</t>
        </is>
      </c>
      <c r="D124" t="n">
        <v>15</v>
      </c>
      <c r="E124" t="n">
        <v>15</v>
      </c>
      <c r="F124">
        <f>D124-E124</f>
        <v/>
      </c>
      <c r="G124" s="2">
        <f>F124/D124</f>
        <v/>
      </c>
      <c r="H124" t="n">
        <v>264</v>
      </c>
      <c r="I124" t="n">
        <v>28</v>
      </c>
      <c r="J124" s="3">
        <f>D124*H124/900</f>
        <v/>
      </c>
      <c r="K124" s="3">
        <f>ROUNDUP(J124+SQRT(J124)*1.5,0)</f>
        <v/>
      </c>
      <c r="L124" s="4">
        <f>J124/K124</f>
        <v/>
      </c>
      <c r="M124" s="3">
        <f>IF(K124&lt;=J124,"Need More Agents",(P124*H124)/(K124-J124))</f>
        <v/>
      </c>
      <c r="N124" s="4">
        <f>IF(K124&lt;=J124,0,1-(P124*EXP(-((K124-J124)*(90/H124)))))</f>
        <v/>
      </c>
      <c r="P124" s="4">
        <f t="array" ref="P124">IF(K124&lt;=J124,"Need More Agents",
  (POWER(K124,J124)/FACT(K124)*(K124/(K124-J124)))/
  (SUMPRODUCT(POWER(J124,ROW(INDIRECT("1:"&amp;K124))-1)/FACT(ROW(INDIRECT("1:"&amp;K124))-1))+
  (POWER(K124,J124)/FACT(K124)*(K124/(K124-J124)))))</f>
        <v/>
      </c>
    </row>
    <row r="125">
      <c r="A125" t="inlineStr">
        <is>
          <t>Thursday</t>
        </is>
      </c>
      <c r="B125" s="1" t="n">
        <v>45666</v>
      </c>
      <c r="C125" t="inlineStr">
        <is>
          <t>11:45-12:00</t>
        </is>
      </c>
      <c r="D125" t="n">
        <v>12</v>
      </c>
      <c r="E125" t="n">
        <v>12</v>
      </c>
      <c r="F125">
        <f>D125-E125</f>
        <v/>
      </c>
      <c r="G125" s="2">
        <f>F125/D125</f>
        <v/>
      </c>
      <c r="H125" t="n">
        <v>270</v>
      </c>
      <c r="I125" t="n">
        <v>25</v>
      </c>
      <c r="J125" s="3">
        <f>D125*H125/900</f>
        <v/>
      </c>
      <c r="K125" s="3">
        <f>ROUNDUP(J125+SQRT(J125)*1.5,0)</f>
        <v/>
      </c>
      <c r="L125" s="4">
        <f>J125/K125</f>
        <v/>
      </c>
      <c r="M125" s="3">
        <f>IF(K125&lt;=J125,"Need More Agents",(P125*H125)/(K125-J125))</f>
        <v/>
      </c>
      <c r="N125" s="4">
        <f>IF(K125&lt;=J125,0,1-(P125*EXP(-((K125-J125)*(90/H125)))))</f>
        <v/>
      </c>
      <c r="P125" s="4">
        <f t="array" ref="P125">IF(K125&lt;=J125,"Need More Agents",
  (POWER(K125,J125)/FACT(K125)*(K125/(K125-J125)))/
  (SUMPRODUCT(POWER(J125,ROW(INDIRECT("1:"&amp;K125))-1)/FACT(ROW(INDIRECT("1:"&amp;K125))-1))+
  (POWER(K125,J125)/FACT(K125)*(K125/(K125-J125)))))</f>
        <v/>
      </c>
    </row>
    <row r="126">
      <c r="A126" t="inlineStr">
        <is>
          <t>Thursday</t>
        </is>
      </c>
      <c r="B126" s="1" t="n">
        <v>45666</v>
      </c>
      <c r="C126" t="inlineStr">
        <is>
          <t>12:00-12:15</t>
        </is>
      </c>
      <c r="D126" t="n">
        <v>19</v>
      </c>
      <c r="E126" t="n">
        <v>18</v>
      </c>
      <c r="F126">
        <f>D126-E126</f>
        <v/>
      </c>
      <c r="G126" s="2">
        <f>F126/D126</f>
        <v/>
      </c>
      <c r="H126" t="n">
        <v>264</v>
      </c>
      <c r="I126" t="n">
        <v>41</v>
      </c>
      <c r="J126" s="3">
        <f>D126*H126/900</f>
        <v/>
      </c>
      <c r="K126" s="3">
        <f>ROUNDUP(J126+SQRT(J126)*1.5,0)</f>
        <v/>
      </c>
      <c r="L126" s="4">
        <f>J126/K126</f>
        <v/>
      </c>
      <c r="M126" s="3">
        <f>IF(K126&lt;=J126,"Need More Agents",(P126*H126)/(K126-J126))</f>
        <v/>
      </c>
      <c r="N126" s="4">
        <f>IF(K126&lt;=J126,0,1-(P126*EXP(-((K126-J126)*(90/H126)))))</f>
        <v/>
      </c>
      <c r="P126" s="4">
        <f t="array" ref="P126">IF(K126&lt;=J126,"Need More Agents",
  (POWER(K126,J126)/FACT(K126)*(K126/(K126-J126)))/
  (SUMPRODUCT(POWER(J126,ROW(INDIRECT("1:"&amp;K126))-1)/FACT(ROW(INDIRECT("1:"&amp;K126))-1))+
  (POWER(K126,J126)/FACT(K126)*(K126/(K126-J126)))))</f>
        <v/>
      </c>
    </row>
    <row r="127">
      <c r="A127" t="inlineStr">
        <is>
          <t>Thursday</t>
        </is>
      </c>
      <c r="B127" s="1" t="n">
        <v>45666</v>
      </c>
      <c r="C127" t="inlineStr">
        <is>
          <t>12:15-12:30</t>
        </is>
      </c>
      <c r="D127" t="n">
        <v>13</v>
      </c>
      <c r="E127" t="n">
        <v>13</v>
      </c>
      <c r="F127">
        <f>D127-E127</f>
        <v/>
      </c>
      <c r="G127" s="2">
        <f>F127/D127</f>
        <v/>
      </c>
      <c r="H127" t="n">
        <v>270</v>
      </c>
      <c r="I127" t="n">
        <v>27</v>
      </c>
      <c r="J127" s="3">
        <f>D127*H127/900</f>
        <v/>
      </c>
      <c r="K127" s="3">
        <f>ROUNDUP(J127+SQRT(J127)*1.5,0)</f>
        <v/>
      </c>
      <c r="L127" s="4">
        <f>J127/K127</f>
        <v/>
      </c>
      <c r="M127" s="3">
        <f>IF(K127&lt;=J127,"Need More Agents",(P127*H127)/(K127-J127))</f>
        <v/>
      </c>
      <c r="N127" s="4">
        <f>IF(K127&lt;=J127,0,1-(P127*EXP(-((K127-J127)*(90/H127)))))</f>
        <v/>
      </c>
      <c r="P127" s="4">
        <f t="array" ref="P127">IF(K127&lt;=J127,"Need More Agents",
  (POWER(K127,J127)/FACT(K127)*(K127/(K127-J127)))/
  (SUMPRODUCT(POWER(J127,ROW(INDIRECT("1:"&amp;K127))-1)/FACT(ROW(INDIRECT("1:"&amp;K127))-1))+
  (POWER(K127,J127)/FACT(K127)*(K127/(K127-J127)))))</f>
        <v/>
      </c>
    </row>
    <row r="128">
      <c r="A128" t="inlineStr">
        <is>
          <t>Thursday</t>
        </is>
      </c>
      <c r="B128" s="1" t="n">
        <v>45666</v>
      </c>
      <c r="C128" t="inlineStr">
        <is>
          <t>12:30-12:45</t>
        </is>
      </c>
      <c r="D128" t="n">
        <v>11</v>
      </c>
      <c r="E128" t="n">
        <v>11</v>
      </c>
      <c r="F128">
        <f>D128-E128</f>
        <v/>
      </c>
      <c r="G128" s="2">
        <f>F128/D128</f>
        <v/>
      </c>
      <c r="H128" t="n">
        <v>264</v>
      </c>
      <c r="I128" t="n">
        <v>24</v>
      </c>
      <c r="J128" s="3">
        <f>D128*H128/900</f>
        <v/>
      </c>
      <c r="K128" s="3">
        <f>ROUNDUP(J128+SQRT(J128)*1.5,0)</f>
        <v/>
      </c>
      <c r="L128" s="4">
        <f>J128/K128</f>
        <v/>
      </c>
      <c r="M128" s="3">
        <f>IF(K128&lt;=J128,"Need More Agents",(P128*H128)/(K128-J128))</f>
        <v/>
      </c>
      <c r="N128" s="4">
        <f>IF(K128&lt;=J128,0,1-(P128*EXP(-((K128-J128)*(90/H128)))))</f>
        <v/>
      </c>
      <c r="P128" s="4">
        <f t="array" ref="P128">IF(K128&lt;=J128,"Need More Agents",
  (POWER(K128,J128)/FACT(K128)*(K128/(K128-J128)))/
  (SUMPRODUCT(POWER(J128,ROW(INDIRECT("1:"&amp;K128))-1)/FACT(ROW(INDIRECT("1:"&amp;K128))-1))+
  (POWER(K128,J128)/FACT(K128)*(K128/(K128-J128)))))</f>
        <v/>
      </c>
    </row>
    <row r="129">
      <c r="A129" t="inlineStr">
        <is>
          <t>Thursday</t>
        </is>
      </c>
      <c r="B129" s="1" t="n">
        <v>45666</v>
      </c>
      <c r="C129" t="inlineStr">
        <is>
          <t>12:45-13:00</t>
        </is>
      </c>
      <c r="D129" t="n">
        <v>9</v>
      </c>
      <c r="E129" t="n">
        <v>9</v>
      </c>
      <c r="F129">
        <f>D129-E129</f>
        <v/>
      </c>
      <c r="G129" s="2">
        <f>F129/D129</f>
        <v/>
      </c>
      <c r="H129" t="n">
        <v>270</v>
      </c>
      <c r="I129" t="n">
        <v>22</v>
      </c>
      <c r="J129" s="3">
        <f>D129*H129/900</f>
        <v/>
      </c>
      <c r="K129" s="3">
        <f>ROUNDUP(J129+SQRT(J129)*1.5,0)</f>
        <v/>
      </c>
      <c r="L129" s="4">
        <f>J129/K129</f>
        <v/>
      </c>
      <c r="M129" s="3">
        <f>IF(K129&lt;=J129,"Need More Agents",(P129*H129)/(K129-J129))</f>
        <v/>
      </c>
      <c r="N129" s="4">
        <f>IF(K129&lt;=J129,0,1-(P129*EXP(-((K129-J129)*(90/H129)))))</f>
        <v/>
      </c>
      <c r="P129" s="4">
        <f t="array" ref="P129">IF(K129&lt;=J129,"Need More Agents",
  (POWER(K129,J129)/FACT(K129)*(K129/(K129-J129)))/
  (SUMPRODUCT(POWER(J129,ROW(INDIRECT("1:"&amp;K129))-1)/FACT(ROW(INDIRECT("1:"&amp;K129))-1))+
  (POWER(K129,J129)/FACT(K129)*(K129/(K129-J129)))))</f>
        <v/>
      </c>
    </row>
    <row r="130">
      <c r="A130" t="inlineStr">
        <is>
          <t>Thursday</t>
        </is>
      </c>
      <c r="B130" s="1" t="n">
        <v>45666</v>
      </c>
      <c r="C130" t="inlineStr">
        <is>
          <t>13:00-13:15</t>
        </is>
      </c>
      <c r="D130" t="n">
        <v>23</v>
      </c>
      <c r="E130" t="n">
        <v>22</v>
      </c>
      <c r="F130">
        <f>D130-E130</f>
        <v/>
      </c>
      <c r="G130" s="2">
        <f>F130/D130</f>
        <v/>
      </c>
      <c r="H130" t="n">
        <v>276</v>
      </c>
      <c r="I130" t="n">
        <v>42</v>
      </c>
      <c r="J130" s="3">
        <f>D130*H130/900</f>
        <v/>
      </c>
      <c r="K130" s="3">
        <f>ROUNDUP(J130+SQRT(J130)*1.5,0)</f>
        <v/>
      </c>
      <c r="L130" s="4">
        <f>J130/K130</f>
        <v/>
      </c>
      <c r="M130" s="3">
        <f>IF(K130&lt;=J130,"Need More Agents",(P130*H130)/(K130-J130))</f>
        <v/>
      </c>
      <c r="N130" s="4">
        <f>IF(K130&lt;=J130,0,1-(P130*EXP(-((K130-J130)*(90/H130)))))</f>
        <v/>
      </c>
      <c r="P130" s="4">
        <f t="array" ref="P130">IF(K130&lt;=J130,"Need More Agents",
  (POWER(K130,J130)/FACT(K130)*(K130/(K130-J130)))/
  (SUMPRODUCT(POWER(J130,ROW(INDIRECT("1:"&amp;K130))-1)/FACT(ROW(INDIRECT("1:"&amp;K130))-1))+
  (POWER(K130,J130)/FACT(K130)*(K130/(K130-J130)))))</f>
        <v/>
      </c>
    </row>
    <row r="131">
      <c r="A131" t="inlineStr">
        <is>
          <t>Thursday</t>
        </is>
      </c>
      <c r="B131" s="1" t="n">
        <v>45666</v>
      </c>
      <c r="C131" t="inlineStr">
        <is>
          <t>13:15-13:30</t>
        </is>
      </c>
      <c r="D131" t="n">
        <v>16</v>
      </c>
      <c r="E131" t="n">
        <v>16</v>
      </c>
      <c r="F131">
        <f>D131-E131</f>
        <v/>
      </c>
      <c r="G131" s="2">
        <f>F131/D131</f>
        <v/>
      </c>
      <c r="H131" t="n">
        <v>270</v>
      </c>
      <c r="I131" t="n">
        <v>30</v>
      </c>
      <c r="J131" s="3">
        <f>D131*H131/900</f>
        <v/>
      </c>
      <c r="K131" s="3">
        <f>ROUNDUP(J131+SQRT(J131)*1.5,0)</f>
        <v/>
      </c>
      <c r="L131" s="4">
        <f>J131/K131</f>
        <v/>
      </c>
      <c r="M131" s="3">
        <f>IF(K131&lt;=J131,"Need More Agents",(P131*H131)/(K131-J131))</f>
        <v/>
      </c>
      <c r="N131" s="4">
        <f>IF(K131&lt;=J131,0,1-(P131*EXP(-((K131-J131)*(90/H131)))))</f>
        <v/>
      </c>
      <c r="P131" s="4">
        <f t="array" ref="P131">IF(K131&lt;=J131,"Need More Agents",
  (POWER(K131,J131)/FACT(K131)*(K131/(K131-J131)))/
  (SUMPRODUCT(POWER(J131,ROW(INDIRECT("1:"&amp;K131))-1)/FACT(ROW(INDIRECT("1:"&amp;K131))-1))+
  (POWER(K131,J131)/FACT(K131)*(K131/(K131-J131)))))</f>
        <v/>
      </c>
    </row>
    <row r="132">
      <c r="A132" t="inlineStr">
        <is>
          <t>Thursday</t>
        </is>
      </c>
      <c r="B132" s="1" t="n">
        <v>45666</v>
      </c>
      <c r="C132" t="inlineStr">
        <is>
          <t>13:30-13:45</t>
        </is>
      </c>
      <c r="D132" t="n">
        <v>13</v>
      </c>
      <c r="E132" t="n">
        <v>13</v>
      </c>
      <c r="F132">
        <f>D132-E132</f>
        <v/>
      </c>
      <c r="G132" s="2">
        <f>F132/D132</f>
        <v/>
      </c>
      <c r="H132" t="n">
        <v>264</v>
      </c>
      <c r="I132" t="n">
        <v>27</v>
      </c>
      <c r="J132" s="3">
        <f>D132*H132/900</f>
        <v/>
      </c>
      <c r="K132" s="3">
        <f>ROUNDUP(J132+SQRT(J132)*1.5,0)</f>
        <v/>
      </c>
      <c r="L132" s="4">
        <f>J132/K132</f>
        <v/>
      </c>
      <c r="M132" s="3">
        <f>IF(K132&lt;=J132,"Need More Agents",(P132*H132)/(K132-J132))</f>
        <v/>
      </c>
      <c r="N132" s="4">
        <f>IF(K132&lt;=J132,0,1-(P132*EXP(-((K132-J132)*(90/H132)))))</f>
        <v/>
      </c>
      <c r="P132" s="4">
        <f t="array" ref="P132">IF(K132&lt;=J132,"Need More Agents",
  (POWER(K132,J132)/FACT(K132)*(K132/(K132-J132)))/
  (SUMPRODUCT(POWER(J132,ROW(INDIRECT("1:"&amp;K132))-1)/FACT(ROW(INDIRECT("1:"&amp;K132))-1))+
  (POWER(K132,J132)/FACT(K132)*(K132/(K132-J132)))))</f>
        <v/>
      </c>
    </row>
    <row r="133">
      <c r="A133" t="inlineStr">
        <is>
          <t>Thursday</t>
        </is>
      </c>
      <c r="B133" s="1" t="n">
        <v>45666</v>
      </c>
      <c r="C133" t="inlineStr">
        <is>
          <t>13:45-14:00</t>
        </is>
      </c>
      <c r="D133" t="n">
        <v>10</v>
      </c>
      <c r="E133" t="n">
        <v>10</v>
      </c>
      <c r="F133">
        <f>D133-E133</f>
        <v/>
      </c>
      <c r="G133" s="2">
        <f>F133/D133</f>
        <v/>
      </c>
      <c r="H133" t="n">
        <v>270</v>
      </c>
      <c r="I133" t="n">
        <v>23</v>
      </c>
      <c r="J133" s="3">
        <f>D133*H133/900</f>
        <v/>
      </c>
      <c r="K133" s="3">
        <f>ROUNDUP(J133+SQRT(J133)*1.5,0)</f>
        <v/>
      </c>
      <c r="L133" s="4">
        <f>J133/K133</f>
        <v/>
      </c>
      <c r="M133" s="3">
        <f>IF(K133&lt;=J133,"Need More Agents",(P133*H133)/(K133-J133))</f>
        <v/>
      </c>
      <c r="N133" s="4">
        <f>IF(K133&lt;=J133,0,1-(P133*EXP(-((K133-J133)*(90/H133)))))</f>
        <v/>
      </c>
      <c r="P133" s="4">
        <f t="array" ref="P133">IF(K133&lt;=J133,"Need More Agents",
  (POWER(K133,J133)/FACT(K133)*(K133/(K133-J133)))/
  (SUMPRODUCT(POWER(J133,ROW(INDIRECT("1:"&amp;K133))-1)/FACT(ROW(INDIRECT("1:"&amp;K133))-1))+
  (POWER(K133,J133)/FACT(K133)*(K133/(K133-J133)))))</f>
        <v/>
      </c>
    </row>
    <row r="134">
      <c r="A134" t="inlineStr">
        <is>
          <t>Thursday</t>
        </is>
      </c>
      <c r="B134" s="1" t="n">
        <v>45666</v>
      </c>
      <c r="C134" t="inlineStr">
        <is>
          <t>14:00-14:15</t>
        </is>
      </c>
      <c r="D134" t="n">
        <v>26</v>
      </c>
      <c r="E134" t="n">
        <v>25</v>
      </c>
      <c r="F134">
        <f>D134-E134</f>
        <v/>
      </c>
      <c r="G134" s="2">
        <f>F134/D134</f>
        <v/>
      </c>
      <c r="H134" t="n">
        <v>276</v>
      </c>
      <c r="I134" t="n">
        <v>43</v>
      </c>
      <c r="J134" s="3">
        <f>D134*H134/900</f>
        <v/>
      </c>
      <c r="K134" s="3">
        <f>ROUNDUP(J134+SQRT(J134)*1.5,0)</f>
        <v/>
      </c>
      <c r="L134" s="4">
        <f>J134/K134</f>
        <v/>
      </c>
      <c r="M134" s="3">
        <f>IF(K134&lt;=J134,"Need More Agents",(P134*H134)/(K134-J134))</f>
        <v/>
      </c>
      <c r="N134" s="4">
        <f>IF(K134&lt;=J134,0,1-(P134*EXP(-((K134-J134)*(90/H134)))))</f>
        <v/>
      </c>
      <c r="P134" s="4">
        <f t="array" ref="P134">IF(K134&lt;=J134,"Need More Agents",
  (POWER(K134,J134)/FACT(K134)*(K134/(K134-J134)))/
  (SUMPRODUCT(POWER(J134,ROW(INDIRECT("1:"&amp;K134))-1)/FACT(ROW(INDIRECT("1:"&amp;K134))-1))+
  (POWER(K134,J134)/FACT(K134)*(K134/(K134-J134)))))</f>
        <v/>
      </c>
    </row>
    <row r="135">
      <c r="A135" t="inlineStr">
        <is>
          <t>Thursday</t>
        </is>
      </c>
      <c r="B135" s="1" t="n">
        <v>45666</v>
      </c>
      <c r="C135" t="inlineStr">
        <is>
          <t>14:15-14:30</t>
        </is>
      </c>
      <c r="D135" t="n">
        <v>18</v>
      </c>
      <c r="E135" t="n">
        <v>18</v>
      </c>
      <c r="F135">
        <f>D135-E135</f>
        <v/>
      </c>
      <c r="G135" s="2">
        <f>F135/D135</f>
        <v/>
      </c>
      <c r="H135" t="n">
        <v>270</v>
      </c>
      <c r="I135" t="n">
        <v>32</v>
      </c>
      <c r="J135" s="3">
        <f>D135*H135/900</f>
        <v/>
      </c>
      <c r="K135" s="3">
        <f>ROUNDUP(J135+SQRT(J135)*1.5,0)</f>
        <v/>
      </c>
      <c r="L135" s="4">
        <f>J135/K135</f>
        <v/>
      </c>
      <c r="M135" s="3">
        <f>IF(K135&lt;=J135,"Need More Agents",(P135*H135)/(K135-J135))</f>
        <v/>
      </c>
      <c r="N135" s="4">
        <f>IF(K135&lt;=J135,0,1-(P135*EXP(-((K135-J135)*(90/H135)))))</f>
        <v/>
      </c>
      <c r="P135" s="4">
        <f t="array" ref="P135">IF(K135&lt;=J135,"Need More Agents",
  (POWER(K135,J135)/FACT(K135)*(K135/(K135-J135)))/
  (SUMPRODUCT(POWER(J135,ROW(INDIRECT("1:"&amp;K135))-1)/FACT(ROW(INDIRECT("1:"&amp;K135))-1))+
  (POWER(K135,J135)/FACT(K135)*(K135/(K135-J135)))))</f>
        <v/>
      </c>
    </row>
    <row r="136">
      <c r="A136" t="inlineStr">
        <is>
          <t>Thursday</t>
        </is>
      </c>
      <c r="B136" s="1" t="n">
        <v>45666</v>
      </c>
      <c r="C136" t="inlineStr">
        <is>
          <t>14:30-14:45</t>
        </is>
      </c>
      <c r="D136" t="n">
        <v>15</v>
      </c>
      <c r="E136" t="n">
        <v>15</v>
      </c>
      <c r="F136">
        <f>D136-E136</f>
        <v/>
      </c>
      <c r="G136" s="2">
        <f>F136/D136</f>
        <v/>
      </c>
      <c r="H136" t="n">
        <v>264</v>
      </c>
      <c r="I136" t="n">
        <v>28</v>
      </c>
      <c r="J136" s="3">
        <f>D136*H136/900</f>
        <v/>
      </c>
      <c r="K136" s="3">
        <f>ROUNDUP(J136+SQRT(J136)*1.5,0)</f>
        <v/>
      </c>
      <c r="L136" s="4">
        <f>J136/K136</f>
        <v/>
      </c>
      <c r="M136" s="3">
        <f>IF(K136&lt;=J136,"Need More Agents",(P136*H136)/(K136-J136))</f>
        <v/>
      </c>
      <c r="N136" s="4">
        <f>IF(K136&lt;=J136,0,1-(P136*EXP(-((K136-J136)*(90/H136)))))</f>
        <v/>
      </c>
      <c r="P136" s="4">
        <f t="array" ref="P136">IF(K136&lt;=J136,"Need More Agents",
  (POWER(K136,J136)/FACT(K136)*(K136/(K136-J136)))/
  (SUMPRODUCT(POWER(J136,ROW(INDIRECT("1:"&amp;K136))-1)/FACT(ROW(INDIRECT("1:"&amp;K136))-1))+
  (POWER(K136,J136)/FACT(K136)*(K136/(K136-J136)))))</f>
        <v/>
      </c>
    </row>
    <row r="137">
      <c r="A137" t="inlineStr">
        <is>
          <t>Thursday</t>
        </is>
      </c>
      <c r="B137" s="1" t="n">
        <v>45666</v>
      </c>
      <c r="C137" t="inlineStr">
        <is>
          <t>14:45-15:00</t>
        </is>
      </c>
      <c r="D137" t="n">
        <v>12</v>
      </c>
      <c r="E137" t="n">
        <v>12</v>
      </c>
      <c r="F137">
        <f>D137-E137</f>
        <v/>
      </c>
      <c r="G137" s="2">
        <f>F137/D137</f>
        <v/>
      </c>
      <c r="H137" t="n">
        <v>270</v>
      </c>
      <c r="I137" t="n">
        <v>25</v>
      </c>
      <c r="J137" s="3">
        <f>D137*H137/900</f>
        <v/>
      </c>
      <c r="K137" s="3">
        <f>ROUNDUP(J137+SQRT(J137)*1.5,0)</f>
        <v/>
      </c>
      <c r="L137" s="4">
        <f>J137/K137</f>
        <v/>
      </c>
      <c r="M137" s="3">
        <f>IF(K137&lt;=J137,"Need More Agents",(P137*H137)/(K137-J137))</f>
        <v/>
      </c>
      <c r="N137" s="4">
        <f>IF(K137&lt;=J137,0,1-(P137*EXP(-((K137-J137)*(90/H137)))))</f>
        <v/>
      </c>
      <c r="P137" s="4">
        <f t="array" ref="P137">IF(K137&lt;=J137,"Need More Agents",
  (POWER(K137,J137)/FACT(K137)*(K137/(K137-J137)))/
  (SUMPRODUCT(POWER(J137,ROW(INDIRECT("1:"&amp;K137))-1)/FACT(ROW(INDIRECT("1:"&amp;K137))-1))+
  (POWER(K137,J137)/FACT(K137)*(K137/(K137-J137)))))</f>
        <v/>
      </c>
    </row>
    <row r="138">
      <c r="A138" t="inlineStr">
        <is>
          <t>Thursday</t>
        </is>
      </c>
      <c r="B138" s="1" t="n">
        <v>45666</v>
      </c>
      <c r="C138" t="inlineStr">
        <is>
          <t>15:00-15:15</t>
        </is>
      </c>
      <c r="D138" t="n">
        <v>21</v>
      </c>
      <c r="E138" t="n">
        <v>20</v>
      </c>
      <c r="F138">
        <f>D138-E138</f>
        <v/>
      </c>
      <c r="G138" s="2">
        <f>F138/D138</f>
        <v/>
      </c>
      <c r="H138" t="n">
        <v>270</v>
      </c>
      <c r="I138" t="n">
        <v>42</v>
      </c>
      <c r="J138" s="3">
        <f>D138*H138/900</f>
        <v/>
      </c>
      <c r="K138" s="3">
        <f>ROUNDUP(J138+SQRT(J138)*1.5,0)</f>
        <v/>
      </c>
      <c r="L138" s="4">
        <f>J138/K138</f>
        <v/>
      </c>
      <c r="M138" s="3">
        <f>IF(K138&lt;=J138,"Need More Agents",(P138*H138)/(K138-J138))</f>
        <v/>
      </c>
      <c r="N138" s="4">
        <f>IF(K138&lt;=J138,0,1-(P138*EXP(-((K138-J138)*(90/H138)))))</f>
        <v/>
      </c>
      <c r="P138" s="4">
        <f t="array" ref="P138">IF(K138&lt;=J138,"Need More Agents",
  (POWER(K138,J138)/FACT(K138)*(K138/(K138-J138)))/
  (SUMPRODUCT(POWER(J138,ROW(INDIRECT("1:"&amp;K138))-1)/FACT(ROW(INDIRECT("1:"&amp;K138))-1))+
  (POWER(K138,J138)/FACT(K138)*(K138/(K138-J138)))))</f>
        <v/>
      </c>
    </row>
    <row r="139">
      <c r="A139" t="inlineStr">
        <is>
          <t>Thursday</t>
        </is>
      </c>
      <c r="B139" s="1" t="n">
        <v>45666</v>
      </c>
      <c r="C139" t="inlineStr">
        <is>
          <t>15:15-15:30</t>
        </is>
      </c>
      <c r="D139" t="n">
        <v>15</v>
      </c>
      <c r="E139" t="n">
        <v>15</v>
      </c>
      <c r="F139">
        <f>D139-E139</f>
        <v/>
      </c>
      <c r="G139" s="2">
        <f>F139/D139</f>
        <v/>
      </c>
      <c r="H139" t="n">
        <v>264</v>
      </c>
      <c r="I139" t="n">
        <v>28</v>
      </c>
      <c r="J139" s="3">
        <f>D139*H139/900</f>
        <v/>
      </c>
      <c r="K139" s="3">
        <f>ROUNDUP(J139+SQRT(J139)*1.5,0)</f>
        <v/>
      </c>
      <c r="L139" s="4">
        <f>J139/K139</f>
        <v/>
      </c>
      <c r="M139" s="3">
        <f>IF(K139&lt;=J139,"Need More Agents",(P139*H139)/(K139-J139))</f>
        <v/>
      </c>
      <c r="N139" s="4">
        <f>IF(K139&lt;=J139,0,1-(P139*EXP(-((K139-J139)*(90/H139)))))</f>
        <v/>
      </c>
      <c r="P139" s="4">
        <f t="array" ref="P139">IF(K139&lt;=J139,"Need More Agents",
  (POWER(K139,J139)/FACT(K139)*(K139/(K139-J139)))/
  (SUMPRODUCT(POWER(J139,ROW(INDIRECT("1:"&amp;K139))-1)/FACT(ROW(INDIRECT("1:"&amp;K139))-1))+
  (POWER(K139,J139)/FACT(K139)*(K139/(K139-J139)))))</f>
        <v/>
      </c>
    </row>
    <row r="140">
      <c r="A140" t="inlineStr">
        <is>
          <t>Thursday</t>
        </is>
      </c>
      <c r="B140" s="1" t="n">
        <v>45666</v>
      </c>
      <c r="C140" t="inlineStr">
        <is>
          <t>15:30-15:45</t>
        </is>
      </c>
      <c r="D140" t="n">
        <v>12</v>
      </c>
      <c r="E140" t="n">
        <v>12</v>
      </c>
      <c r="F140">
        <f>D140-E140</f>
        <v/>
      </c>
      <c r="G140" s="2">
        <f>F140/D140</f>
        <v/>
      </c>
      <c r="H140" t="n">
        <v>270</v>
      </c>
      <c r="I140" t="n">
        <v>25</v>
      </c>
      <c r="J140" s="3">
        <f>D140*H140/900</f>
        <v/>
      </c>
      <c r="K140" s="3">
        <f>ROUNDUP(J140+SQRT(J140)*1.5,0)</f>
        <v/>
      </c>
      <c r="L140" s="4">
        <f>J140/K140</f>
        <v/>
      </c>
      <c r="M140" s="3">
        <f>IF(K140&lt;=J140,"Need More Agents",(P140*H140)/(K140-J140))</f>
        <v/>
      </c>
      <c r="N140" s="4">
        <f>IF(K140&lt;=J140,0,1-(P140*EXP(-((K140-J140)*(90/H140)))))</f>
        <v/>
      </c>
      <c r="P140" s="4">
        <f t="array" ref="P140">IF(K140&lt;=J140,"Need More Agents",
  (POWER(K140,J140)/FACT(K140)*(K140/(K140-J140)))/
  (SUMPRODUCT(POWER(J140,ROW(INDIRECT("1:"&amp;K140))-1)/FACT(ROW(INDIRECT("1:"&amp;K140))-1))+
  (POWER(K140,J140)/FACT(K140)*(K140/(K140-J140)))))</f>
        <v/>
      </c>
    </row>
    <row r="141">
      <c r="A141" t="inlineStr">
        <is>
          <t>Thursday</t>
        </is>
      </c>
      <c r="B141" s="1" t="n">
        <v>45666</v>
      </c>
      <c r="C141" t="inlineStr">
        <is>
          <t>15:45-16:00</t>
        </is>
      </c>
      <c r="D141" t="n">
        <v>9</v>
      </c>
      <c r="E141" t="n">
        <v>9</v>
      </c>
      <c r="F141">
        <f>D141-E141</f>
        <v/>
      </c>
      <c r="G141" s="2">
        <f>F141/D141</f>
        <v/>
      </c>
      <c r="H141" t="n">
        <v>264</v>
      </c>
      <c r="I141" t="n">
        <v>22</v>
      </c>
      <c r="J141" s="3">
        <f>D141*H141/900</f>
        <v/>
      </c>
      <c r="K141" s="3">
        <f>ROUNDUP(J141+SQRT(J141)*1.5,0)</f>
        <v/>
      </c>
      <c r="L141" s="4">
        <f>J141/K141</f>
        <v/>
      </c>
      <c r="M141" s="3">
        <f>IF(K141&lt;=J141,"Need More Agents",(P141*H141)/(K141-J141))</f>
        <v/>
      </c>
      <c r="N141" s="4">
        <f>IF(K141&lt;=J141,0,1-(P141*EXP(-((K141-J141)*(90/H141)))))</f>
        <v/>
      </c>
      <c r="P141" s="4">
        <f t="array" ref="P141">IF(K141&lt;=J141,"Need More Agents",
  (POWER(K141,J141)/FACT(K141)*(K141/(K141-J141)))/
  (SUMPRODUCT(POWER(J141,ROW(INDIRECT("1:"&amp;K141))-1)/FACT(ROW(INDIRECT("1:"&amp;K141))-1))+
  (POWER(K141,J141)/FACT(K141)*(K141/(K141-J141)))))</f>
        <v/>
      </c>
    </row>
    <row r="142">
      <c r="A142" t="inlineStr">
        <is>
          <t>Thursday</t>
        </is>
      </c>
      <c r="B142" s="1" t="n">
        <v>45666</v>
      </c>
      <c r="C142" t="inlineStr">
        <is>
          <t>16:00-16:15</t>
        </is>
      </c>
      <c r="D142" t="n">
        <v>17</v>
      </c>
      <c r="E142" t="n">
        <v>16</v>
      </c>
      <c r="F142">
        <f>D142-E142</f>
        <v/>
      </c>
      <c r="G142" s="2">
        <f>F142/D142</f>
        <v/>
      </c>
      <c r="H142" t="n">
        <v>276</v>
      </c>
      <c r="I142" t="n">
        <v>43</v>
      </c>
      <c r="J142" s="3">
        <f>D142*H142/900</f>
        <v/>
      </c>
      <c r="K142" s="3">
        <f>ROUNDUP(J142+SQRT(J142)*1.5,0)</f>
        <v/>
      </c>
      <c r="L142" s="4">
        <f>J142/K142</f>
        <v/>
      </c>
      <c r="M142" s="3">
        <f>IF(K142&lt;=J142,"Need More Agents",(P142*H142)/(K142-J142))</f>
        <v/>
      </c>
      <c r="N142" s="4">
        <f>IF(K142&lt;=J142,0,1-(P142*EXP(-((K142-J142)*(90/H142)))))</f>
        <v/>
      </c>
      <c r="P142" s="4">
        <f t="array" ref="P142">IF(K142&lt;=J142,"Need More Agents",
  (POWER(K142,J142)/FACT(K142)*(K142/(K142-J142)))/
  (SUMPRODUCT(POWER(J142,ROW(INDIRECT("1:"&amp;K142))-1)/FACT(ROW(INDIRECT("1:"&amp;K142))-1))+
  (POWER(K142,J142)/FACT(K142)*(K142/(K142-J142)))))</f>
        <v/>
      </c>
    </row>
    <row r="143">
      <c r="A143" t="inlineStr">
        <is>
          <t>Thursday</t>
        </is>
      </c>
      <c r="B143" s="1" t="n">
        <v>45666</v>
      </c>
      <c r="C143" t="inlineStr">
        <is>
          <t>16:15-16:30</t>
        </is>
      </c>
      <c r="D143" t="n">
        <v>12</v>
      </c>
      <c r="E143" t="n">
        <v>12</v>
      </c>
      <c r="F143">
        <f>D143-E143</f>
        <v/>
      </c>
      <c r="G143" s="2">
        <f>F143/D143</f>
        <v/>
      </c>
      <c r="H143" t="n">
        <v>270</v>
      </c>
      <c r="I143" t="n">
        <v>25</v>
      </c>
      <c r="J143" s="3">
        <f>D143*H143/900</f>
        <v/>
      </c>
      <c r="K143" s="3">
        <f>ROUNDUP(J143+SQRT(J143)*1.5,0)</f>
        <v/>
      </c>
      <c r="L143" s="4">
        <f>J143/K143</f>
        <v/>
      </c>
      <c r="M143" s="3">
        <f>IF(K143&lt;=J143,"Need More Agents",(P143*H143)/(K143-J143))</f>
        <v/>
      </c>
      <c r="N143" s="4">
        <f>IF(K143&lt;=J143,0,1-(P143*EXP(-((K143-J143)*(90/H143)))))</f>
        <v/>
      </c>
      <c r="P143" s="4">
        <f t="array" ref="P143">IF(K143&lt;=J143,"Need More Agents",
  (POWER(K143,J143)/FACT(K143)*(K143/(K143-J143)))/
  (SUMPRODUCT(POWER(J143,ROW(INDIRECT("1:"&amp;K143))-1)/FACT(ROW(INDIRECT("1:"&amp;K143))-1))+
  (POWER(K143,J143)/FACT(K143)*(K143/(K143-J143)))))</f>
        <v/>
      </c>
    </row>
    <row r="144">
      <c r="A144" t="inlineStr">
        <is>
          <t>Thursday</t>
        </is>
      </c>
      <c r="B144" s="1" t="n">
        <v>45666</v>
      </c>
      <c r="C144" t="inlineStr">
        <is>
          <t>16:30-16:45</t>
        </is>
      </c>
      <c r="D144" t="n">
        <v>9</v>
      </c>
      <c r="E144" t="n">
        <v>9</v>
      </c>
      <c r="F144">
        <f>D144-E144</f>
        <v/>
      </c>
      <c r="G144" s="2">
        <f>F144/D144</f>
        <v/>
      </c>
      <c r="H144" t="n">
        <v>264</v>
      </c>
      <c r="I144" t="n">
        <v>22</v>
      </c>
      <c r="J144" s="3">
        <f>D144*H144/900</f>
        <v/>
      </c>
      <c r="K144" s="3">
        <f>ROUNDUP(J144+SQRT(J144)*1.5,0)</f>
        <v/>
      </c>
      <c r="L144" s="4">
        <f>J144/K144</f>
        <v/>
      </c>
      <c r="M144" s="3">
        <f>IF(K144&lt;=J144,"Need More Agents",(P144*H144)/(K144-J144))</f>
        <v/>
      </c>
      <c r="N144" s="4">
        <f>IF(K144&lt;=J144,0,1-(P144*EXP(-((K144-J144)*(90/H144)))))</f>
        <v/>
      </c>
      <c r="P144" s="4">
        <f t="array" ref="P144">IF(K144&lt;=J144,"Need More Agents",
  (POWER(K144,J144)/FACT(K144)*(K144/(K144-J144)))/
  (SUMPRODUCT(POWER(J144,ROW(INDIRECT("1:"&amp;K144))-1)/FACT(ROW(INDIRECT("1:"&amp;K144))-1))+
  (POWER(K144,J144)/FACT(K144)*(K144/(K144-J144)))))</f>
        <v/>
      </c>
    </row>
    <row r="145">
      <c r="A145" t="inlineStr">
        <is>
          <t>Thursday</t>
        </is>
      </c>
      <c r="B145" s="1" t="n">
        <v>45666</v>
      </c>
      <c r="C145" t="inlineStr">
        <is>
          <t>16:45-17:00</t>
        </is>
      </c>
      <c r="D145" t="n">
        <v>7</v>
      </c>
      <c r="E145" t="n">
        <v>7</v>
      </c>
      <c r="F145">
        <f>D145-E145</f>
        <v/>
      </c>
      <c r="G145" s="2">
        <f>F145/D145</f>
        <v/>
      </c>
      <c r="H145" t="n">
        <v>270</v>
      </c>
      <c r="I145" t="n">
        <v>20</v>
      </c>
      <c r="J145" s="3">
        <f>D145*H145/900</f>
        <v/>
      </c>
      <c r="K145" s="3">
        <f>ROUNDUP(J145+SQRT(J145)*1.5,0)</f>
        <v/>
      </c>
      <c r="L145" s="4">
        <f>J145/K145</f>
        <v/>
      </c>
      <c r="M145" s="3">
        <f>IF(K145&lt;=J145,"Need More Agents",(P145*H145)/(K145-J145))</f>
        <v/>
      </c>
      <c r="N145" s="4">
        <f>IF(K145&lt;=J145,0,1-(P145*EXP(-((K145-J145)*(90/H145)))))</f>
        <v/>
      </c>
      <c r="P145" s="4">
        <f t="array" ref="P145">IF(K145&lt;=J145,"Need More Agents",
  (POWER(K145,J145)/FACT(K145)*(K145/(K145-J145)))/
  (SUMPRODUCT(POWER(J145,ROW(INDIRECT("1:"&amp;K145))-1)/FACT(ROW(INDIRECT("1:"&amp;K145))-1))+
  (POWER(K145,J145)/FACT(K145)*(K145/(K145-J145)))))</f>
        <v/>
      </c>
    </row>
    <row r="146">
      <c r="A146" t="inlineStr">
        <is>
          <t>Friday</t>
        </is>
      </c>
      <c r="B146" s="1" t="n">
        <v>45667</v>
      </c>
      <c r="C146" t="inlineStr">
        <is>
          <t>08:00-08:15</t>
        </is>
      </c>
      <c r="D146" t="n">
        <v>13</v>
      </c>
      <c r="E146" t="n">
        <v>12</v>
      </c>
      <c r="F146">
        <f>D146-E146</f>
        <v/>
      </c>
      <c r="G146" s="2">
        <f>F146/D146</f>
        <v/>
      </c>
      <c r="H146" t="n">
        <v>264</v>
      </c>
      <c r="I146" t="n">
        <v>46</v>
      </c>
      <c r="J146" s="3">
        <f>D146*H146/900</f>
        <v/>
      </c>
      <c r="K146" s="3">
        <f>ROUNDUP(J146+SQRT(J146)*1.5,0)</f>
        <v/>
      </c>
      <c r="L146" s="4">
        <f>J146/K146</f>
        <v/>
      </c>
      <c r="M146" s="3">
        <f>IF(K146&lt;=J146,"Need More Agents",(P146*H146)/(K146-J146))</f>
        <v/>
      </c>
      <c r="N146" s="4">
        <f>IF(K146&lt;=J146,0,1-(P146*EXP(-((K146-J146)*(90/H146)))))</f>
        <v/>
      </c>
      <c r="P146" s="4">
        <f t="array" ref="P146">IF(K146&lt;=J146,"Need More Agents",
  (POWER(K146,J146)/FACT(K146)*(K146/(K146-J146)))/
  (SUMPRODUCT(POWER(J146,ROW(INDIRECT("1:"&amp;K146))-1)/FACT(ROW(INDIRECT("1:"&amp;K146))-1))+
  (POWER(K146,J146)/FACT(K146)*(K146/(K146-J146)))))</f>
        <v/>
      </c>
    </row>
    <row r="147">
      <c r="A147" t="inlineStr">
        <is>
          <t>Friday</t>
        </is>
      </c>
      <c r="B147" s="1" t="n">
        <v>45667</v>
      </c>
      <c r="C147" t="inlineStr">
        <is>
          <t>08:15-08:30</t>
        </is>
      </c>
      <c r="D147" t="n">
        <v>10</v>
      </c>
      <c r="E147" t="n">
        <v>10</v>
      </c>
      <c r="F147">
        <f>D147-E147</f>
        <v/>
      </c>
      <c r="G147" s="2">
        <f>F147/D147</f>
        <v/>
      </c>
      <c r="H147" t="n">
        <v>270</v>
      </c>
      <c r="I147" t="n">
        <v>24</v>
      </c>
      <c r="J147" s="3">
        <f>D147*H147/900</f>
        <v/>
      </c>
      <c r="K147" s="3">
        <f>ROUNDUP(J147+SQRT(J147)*1.5,0)</f>
        <v/>
      </c>
      <c r="L147" s="4">
        <f>J147/K147</f>
        <v/>
      </c>
      <c r="M147" s="3">
        <f>IF(K147&lt;=J147,"Need More Agents",(P147*H147)/(K147-J147))</f>
        <v/>
      </c>
      <c r="N147" s="4">
        <f>IF(K147&lt;=J147,0,1-(P147*EXP(-((K147-J147)*(90/H147)))))</f>
        <v/>
      </c>
      <c r="P147" s="4">
        <f t="array" ref="P147">IF(K147&lt;=J147,"Need More Agents",
  (POWER(K147,J147)/FACT(K147)*(K147/(K147-J147)))/
  (SUMPRODUCT(POWER(J147,ROW(INDIRECT("1:"&amp;K147))-1)/FACT(ROW(INDIRECT("1:"&amp;K147))-1))+
  (POWER(K147,J147)/FACT(K147)*(K147/(K147-J147)))))</f>
        <v/>
      </c>
    </row>
    <row r="148">
      <c r="A148" t="inlineStr">
        <is>
          <t>Friday</t>
        </is>
      </c>
      <c r="B148" s="1" t="n">
        <v>45667</v>
      </c>
      <c r="C148" t="inlineStr">
        <is>
          <t>08:30-08:45</t>
        </is>
      </c>
      <c r="D148" t="n">
        <v>8</v>
      </c>
      <c r="E148" t="n">
        <v>8</v>
      </c>
      <c r="F148">
        <f>D148-E148</f>
        <v/>
      </c>
      <c r="G148" s="2">
        <f>F148/D148</f>
        <v/>
      </c>
      <c r="H148" t="n">
        <v>264</v>
      </c>
      <c r="I148" t="n">
        <v>21</v>
      </c>
      <c r="J148" s="3">
        <f>D148*H148/900</f>
        <v/>
      </c>
      <c r="K148" s="3">
        <f>ROUNDUP(J148+SQRT(J148)*1.5,0)</f>
        <v/>
      </c>
      <c r="L148" s="4">
        <f>J148/K148</f>
        <v/>
      </c>
      <c r="M148" s="3">
        <f>IF(K148&lt;=J148,"Need More Agents",(P148*H148)/(K148-J148))</f>
        <v/>
      </c>
      <c r="N148" s="4">
        <f>IF(K148&lt;=J148,0,1-(P148*EXP(-((K148-J148)*(90/H148)))))</f>
        <v/>
      </c>
      <c r="P148" s="4">
        <f t="array" ref="P148">IF(K148&lt;=J148,"Need More Agents",
  (POWER(K148,J148)/FACT(K148)*(K148/(K148-J148)))/
  (SUMPRODUCT(POWER(J148,ROW(INDIRECT("1:"&amp;K148))-1)/FACT(ROW(INDIRECT("1:"&amp;K148))-1))+
  (POWER(K148,J148)/FACT(K148)*(K148/(K148-J148)))))</f>
        <v/>
      </c>
    </row>
    <row r="149">
      <c r="A149" t="inlineStr">
        <is>
          <t>Friday</t>
        </is>
      </c>
      <c r="B149" s="1" t="n">
        <v>45667</v>
      </c>
      <c r="C149" t="inlineStr">
        <is>
          <t>08:45-09:00</t>
        </is>
      </c>
      <c r="D149" t="n">
        <v>6</v>
      </c>
      <c r="E149" t="n">
        <v>6</v>
      </c>
      <c r="F149">
        <f>D149-E149</f>
        <v/>
      </c>
      <c r="G149" s="2">
        <f>F149/D149</f>
        <v/>
      </c>
      <c r="H149" t="n">
        <v>276</v>
      </c>
      <c r="I149" t="n">
        <v>19</v>
      </c>
      <c r="J149" s="3">
        <f>D149*H149/900</f>
        <v/>
      </c>
      <c r="K149" s="3">
        <f>ROUNDUP(J149+SQRT(J149)*1.5,0)</f>
        <v/>
      </c>
      <c r="L149" s="4">
        <f>J149/K149</f>
        <v/>
      </c>
      <c r="M149" s="3">
        <f>IF(K149&lt;=J149,"Need More Agents",(P149*H149)/(K149-J149))</f>
        <v/>
      </c>
      <c r="N149" s="4">
        <f>IF(K149&lt;=J149,0,1-(P149*EXP(-((K149-J149)*(90/H149)))))</f>
        <v/>
      </c>
      <c r="P149" s="4">
        <f t="array" ref="P149">IF(K149&lt;=J149,"Need More Agents",
  (POWER(K149,J149)/FACT(K149)*(K149/(K149-J149)))/
  (SUMPRODUCT(POWER(J149,ROW(INDIRECT("1:"&amp;K149))-1)/FACT(ROW(INDIRECT("1:"&amp;K149))-1))+
  (POWER(K149,J149)/FACT(K149)*(K149/(K149-J149)))))</f>
        <v/>
      </c>
    </row>
    <row r="150">
      <c r="A150" t="inlineStr">
        <is>
          <t>Friday</t>
        </is>
      </c>
      <c r="B150" s="1" t="n">
        <v>45667</v>
      </c>
      <c r="C150" t="inlineStr">
        <is>
          <t>09:00-09:15</t>
        </is>
      </c>
      <c r="D150" t="n">
        <v>20</v>
      </c>
      <c r="E150" t="n">
        <v>19</v>
      </c>
      <c r="F150">
        <f>D150-E150</f>
        <v/>
      </c>
      <c r="G150" s="2">
        <f>F150/D150</f>
        <v/>
      </c>
      <c r="H150" t="n">
        <v>270</v>
      </c>
      <c r="I150" t="n">
        <v>41</v>
      </c>
      <c r="J150" s="3">
        <f>D150*H150/900</f>
        <v/>
      </c>
      <c r="K150" s="3">
        <f>ROUNDUP(J150+SQRT(J150)*1.5,0)</f>
        <v/>
      </c>
      <c r="L150" s="4">
        <f>J150/K150</f>
        <v/>
      </c>
      <c r="M150" s="3">
        <f>IF(K150&lt;=J150,"Need More Agents",(P150*H150)/(K150-J150))</f>
        <v/>
      </c>
      <c r="N150" s="4">
        <f>IF(K150&lt;=J150,0,1-(P150*EXP(-((K150-J150)*(90/H150)))))</f>
        <v/>
      </c>
      <c r="P150" s="4">
        <f t="array" ref="P150">IF(K150&lt;=J150,"Need More Agents",
  (POWER(K150,J150)/FACT(K150)*(K150/(K150-J150)))/
  (SUMPRODUCT(POWER(J150,ROW(INDIRECT("1:"&amp;K150))-1)/FACT(ROW(INDIRECT("1:"&amp;K150))-1))+
  (POWER(K150,J150)/FACT(K150)*(K150/(K150-J150)))))</f>
        <v/>
      </c>
    </row>
    <row r="151">
      <c r="A151" t="inlineStr">
        <is>
          <t>Friday</t>
        </is>
      </c>
      <c r="B151" s="1" t="n">
        <v>45667</v>
      </c>
      <c r="C151" t="inlineStr">
        <is>
          <t>09:15-09:30</t>
        </is>
      </c>
      <c r="D151" t="n">
        <v>14</v>
      </c>
      <c r="E151" t="n">
        <v>14</v>
      </c>
      <c r="F151">
        <f>D151-E151</f>
        <v/>
      </c>
      <c r="G151" s="2">
        <f>F151/D151</f>
        <v/>
      </c>
      <c r="H151" t="n">
        <v>264</v>
      </c>
      <c r="I151" t="n">
        <v>27</v>
      </c>
      <c r="J151" s="3">
        <f>D151*H151/900</f>
        <v/>
      </c>
      <c r="K151" s="3">
        <f>ROUNDUP(J151+SQRT(J151)*1.5,0)</f>
        <v/>
      </c>
      <c r="L151" s="4">
        <f>J151/K151</f>
        <v/>
      </c>
      <c r="M151" s="3">
        <f>IF(K151&lt;=J151,"Need More Agents",(P151*H151)/(K151-J151))</f>
        <v/>
      </c>
      <c r="N151" s="4">
        <f>IF(K151&lt;=J151,0,1-(P151*EXP(-((K151-J151)*(90/H151)))))</f>
        <v/>
      </c>
      <c r="P151" s="4">
        <f t="array" ref="P151">IF(K151&lt;=J151,"Need More Agents",
  (POWER(K151,J151)/FACT(K151)*(K151/(K151-J151)))/
  (SUMPRODUCT(POWER(J151,ROW(INDIRECT("1:"&amp;K151))-1)/FACT(ROW(INDIRECT("1:"&amp;K151))-1))+
  (POWER(K151,J151)/FACT(K151)*(K151/(K151-J151)))))</f>
        <v/>
      </c>
    </row>
    <row r="152">
      <c r="A152" t="inlineStr">
        <is>
          <t>Friday</t>
        </is>
      </c>
      <c r="B152" s="1" t="n">
        <v>45667</v>
      </c>
      <c r="C152" t="inlineStr">
        <is>
          <t>09:30-09:45</t>
        </is>
      </c>
      <c r="D152" t="n">
        <v>11</v>
      </c>
      <c r="E152" t="n">
        <v>11</v>
      </c>
      <c r="F152">
        <f>D152-E152</f>
        <v/>
      </c>
      <c r="G152" s="2">
        <f>F152/D152</f>
        <v/>
      </c>
      <c r="H152" t="n">
        <v>270</v>
      </c>
      <c r="I152" t="n">
        <v>24</v>
      </c>
      <c r="J152" s="3">
        <f>D152*H152/900</f>
        <v/>
      </c>
      <c r="K152" s="3">
        <f>ROUNDUP(J152+SQRT(J152)*1.5,0)</f>
        <v/>
      </c>
      <c r="L152" s="4">
        <f>J152/K152</f>
        <v/>
      </c>
      <c r="M152" s="3">
        <f>IF(K152&lt;=J152,"Need More Agents",(P152*H152)/(K152-J152))</f>
        <v/>
      </c>
      <c r="N152" s="4">
        <f>IF(K152&lt;=J152,0,1-(P152*EXP(-((K152-J152)*(90/H152)))))</f>
        <v/>
      </c>
      <c r="P152" s="4">
        <f t="array" ref="P152">IF(K152&lt;=J152,"Need More Agents",
  (POWER(K152,J152)/FACT(K152)*(K152/(K152-J152)))/
  (SUMPRODUCT(POWER(J152,ROW(INDIRECT("1:"&amp;K152))-1)/FACT(ROW(INDIRECT("1:"&amp;K152))-1))+
  (POWER(K152,J152)/FACT(K152)*(K152/(K152-J152)))))</f>
        <v/>
      </c>
    </row>
    <row r="153">
      <c r="A153" t="inlineStr">
        <is>
          <t>Friday</t>
        </is>
      </c>
      <c r="B153" s="1" t="n">
        <v>45667</v>
      </c>
      <c r="C153" t="inlineStr">
        <is>
          <t>09:45-10:00</t>
        </is>
      </c>
      <c r="D153" t="n">
        <v>9</v>
      </c>
      <c r="E153" t="n">
        <v>9</v>
      </c>
      <c r="F153">
        <f>D153-E153</f>
        <v/>
      </c>
      <c r="G153" s="2">
        <f>F153/D153</f>
        <v/>
      </c>
      <c r="H153" t="n">
        <v>264</v>
      </c>
      <c r="I153" t="n">
        <v>22</v>
      </c>
      <c r="J153" s="3">
        <f>D153*H153/900</f>
        <v/>
      </c>
      <c r="K153" s="3">
        <f>ROUNDUP(J153+SQRT(J153)*1.5,0)</f>
        <v/>
      </c>
      <c r="L153" s="4">
        <f>J153/K153</f>
        <v/>
      </c>
      <c r="M153" s="3">
        <f>IF(K153&lt;=J153,"Need More Agents",(P153*H153)/(K153-J153))</f>
        <v/>
      </c>
      <c r="N153" s="4">
        <f>IF(K153&lt;=J153,0,1-(P153*EXP(-((K153-J153)*(90/H153)))))</f>
        <v/>
      </c>
      <c r="P153" s="4">
        <f t="array" ref="P153">IF(K153&lt;=J153,"Need More Agents",
  (POWER(K153,J153)/FACT(K153)*(K153/(K153-J153)))/
  (SUMPRODUCT(POWER(J153,ROW(INDIRECT("1:"&amp;K153))-1)/FACT(ROW(INDIRECT("1:"&amp;K153))-1))+
  (POWER(K153,J153)/FACT(K153)*(K153/(K153-J153)))))</f>
        <v/>
      </c>
    </row>
    <row r="154">
      <c r="A154" t="inlineStr">
        <is>
          <t>Friday</t>
        </is>
      </c>
      <c r="B154" s="1" t="n">
        <v>45667</v>
      </c>
      <c r="C154" t="inlineStr">
        <is>
          <t>10:00-10:15</t>
        </is>
      </c>
      <c r="D154" t="n">
        <v>24</v>
      </c>
      <c r="E154" t="n">
        <v>23</v>
      </c>
      <c r="F154">
        <f>D154-E154</f>
        <v/>
      </c>
      <c r="G154" s="2">
        <f>F154/D154</f>
        <v/>
      </c>
      <c r="H154" t="n">
        <v>276</v>
      </c>
      <c r="I154" t="n">
        <v>43</v>
      </c>
      <c r="J154" s="3">
        <f>D154*H154/900</f>
        <v/>
      </c>
      <c r="K154" s="3">
        <f>ROUNDUP(J154+SQRT(J154)*1.5,0)</f>
        <v/>
      </c>
      <c r="L154" s="4">
        <f>J154/K154</f>
        <v/>
      </c>
      <c r="M154" s="3">
        <f>IF(K154&lt;=J154,"Need More Agents",(P154*H154)/(K154-J154))</f>
        <v/>
      </c>
      <c r="N154" s="4">
        <f>IF(K154&lt;=J154,0,1-(P154*EXP(-((K154-J154)*(90/H154)))))</f>
        <v/>
      </c>
      <c r="P154" s="4">
        <f t="array" ref="P154">IF(K154&lt;=J154,"Need More Agents",
  (POWER(K154,J154)/FACT(K154)*(K154/(K154-J154)))/
  (SUMPRODUCT(POWER(J154,ROW(INDIRECT("1:"&amp;K154))-1)/FACT(ROW(INDIRECT("1:"&amp;K154))-1))+
  (POWER(K154,J154)/FACT(K154)*(K154/(K154-J154)))))</f>
        <v/>
      </c>
    </row>
    <row r="155">
      <c r="A155" t="inlineStr">
        <is>
          <t>Friday</t>
        </is>
      </c>
      <c r="B155" s="1" t="n">
        <v>45667</v>
      </c>
      <c r="C155" t="inlineStr">
        <is>
          <t>10:15-10:30</t>
        </is>
      </c>
      <c r="D155" t="n">
        <v>17</v>
      </c>
      <c r="E155" t="n">
        <v>17</v>
      </c>
      <c r="F155">
        <f>D155-E155</f>
        <v/>
      </c>
      <c r="G155" s="2">
        <f>F155/D155</f>
        <v/>
      </c>
      <c r="H155" t="n">
        <v>270</v>
      </c>
      <c r="I155" t="n">
        <v>31</v>
      </c>
      <c r="J155" s="3">
        <f>D155*H155/900</f>
        <v/>
      </c>
      <c r="K155" s="3">
        <f>ROUNDUP(J155+SQRT(J155)*1.5,0)</f>
        <v/>
      </c>
      <c r="L155" s="4">
        <f>J155/K155</f>
        <v/>
      </c>
      <c r="M155" s="3">
        <f>IF(K155&lt;=J155,"Need More Agents",(P155*H155)/(K155-J155))</f>
        <v/>
      </c>
      <c r="N155" s="4">
        <f>IF(K155&lt;=J155,0,1-(P155*EXP(-((K155-J155)*(90/H155)))))</f>
        <v/>
      </c>
      <c r="P155" s="4">
        <f t="array" ref="P155">IF(K155&lt;=J155,"Need More Agents",
  (POWER(K155,J155)/FACT(K155)*(K155/(K155-J155)))/
  (SUMPRODUCT(POWER(J155,ROW(INDIRECT("1:"&amp;K155))-1)/FACT(ROW(INDIRECT("1:"&amp;K155))-1))+
  (POWER(K155,J155)/FACT(K155)*(K155/(K155-J155)))))</f>
        <v/>
      </c>
    </row>
    <row r="156">
      <c r="A156" t="inlineStr">
        <is>
          <t>Friday</t>
        </is>
      </c>
      <c r="B156" s="1" t="n">
        <v>45667</v>
      </c>
      <c r="C156" t="inlineStr">
        <is>
          <t>10:30-10:45</t>
        </is>
      </c>
      <c r="D156" t="n">
        <v>14</v>
      </c>
      <c r="E156" t="n">
        <v>14</v>
      </c>
      <c r="F156">
        <f>D156-E156</f>
        <v/>
      </c>
      <c r="G156" s="2">
        <f>F156/D156</f>
        <v/>
      </c>
      <c r="H156" t="n">
        <v>264</v>
      </c>
      <c r="I156" t="n">
        <v>27</v>
      </c>
      <c r="J156" s="3">
        <f>D156*H156/900</f>
        <v/>
      </c>
      <c r="K156" s="3">
        <f>ROUNDUP(J156+SQRT(J156)*1.5,0)</f>
        <v/>
      </c>
      <c r="L156" s="4">
        <f>J156/K156</f>
        <v/>
      </c>
      <c r="M156" s="3">
        <f>IF(K156&lt;=J156,"Need More Agents",(P156*H156)/(K156-J156))</f>
        <v/>
      </c>
      <c r="N156" s="4">
        <f>IF(K156&lt;=J156,0,1-(P156*EXP(-((K156-J156)*(90/H156)))))</f>
        <v/>
      </c>
      <c r="P156" s="4">
        <f t="array" ref="P156">IF(K156&lt;=J156,"Need More Agents",
  (POWER(K156,J156)/FACT(K156)*(K156/(K156-J156)))/
  (SUMPRODUCT(POWER(J156,ROW(INDIRECT("1:"&amp;K156))-1)/FACT(ROW(INDIRECT("1:"&amp;K156))-1))+
  (POWER(K156,J156)/FACT(K156)*(K156/(K156-J156)))))</f>
        <v/>
      </c>
    </row>
    <row r="157">
      <c r="A157" t="inlineStr">
        <is>
          <t>Friday</t>
        </is>
      </c>
      <c r="B157" s="1" t="n">
        <v>45667</v>
      </c>
      <c r="C157" t="inlineStr">
        <is>
          <t>10:45-11:00</t>
        </is>
      </c>
      <c r="D157" t="n">
        <v>11</v>
      </c>
      <c r="E157" t="n">
        <v>11</v>
      </c>
      <c r="F157">
        <f>D157-E157</f>
        <v/>
      </c>
      <c r="G157" s="2">
        <f>F157/D157</f>
        <v/>
      </c>
      <c r="H157" t="n">
        <v>270</v>
      </c>
      <c r="I157" t="n">
        <v>24</v>
      </c>
      <c r="J157" s="3">
        <f>D157*H157/900</f>
        <v/>
      </c>
      <c r="K157" s="3">
        <f>ROUNDUP(J157+SQRT(J157)*1.5,0)</f>
        <v/>
      </c>
      <c r="L157" s="4">
        <f>J157/K157</f>
        <v/>
      </c>
      <c r="M157" s="3">
        <f>IF(K157&lt;=J157,"Need More Agents",(P157*H157)/(K157-J157))</f>
        <v/>
      </c>
      <c r="N157" s="4">
        <f>IF(K157&lt;=J157,0,1-(P157*EXP(-((K157-J157)*(90/H157)))))</f>
        <v/>
      </c>
      <c r="P157" s="4">
        <f t="array" ref="P157">IF(K157&lt;=J157,"Need More Agents",
  (POWER(K157,J157)/FACT(K157)*(K157/(K157-J157)))/
  (SUMPRODUCT(POWER(J157,ROW(INDIRECT("1:"&amp;K157))-1)/FACT(ROW(INDIRECT("1:"&amp;K157))-1))+
  (POWER(K157,J157)/FACT(K157)*(K157/(K157-J157)))))</f>
        <v/>
      </c>
    </row>
    <row r="158">
      <c r="A158" t="inlineStr">
        <is>
          <t>Friday</t>
        </is>
      </c>
      <c r="B158" s="1" t="n">
        <v>45667</v>
      </c>
      <c r="C158" t="inlineStr">
        <is>
          <t>11:00-11:15</t>
        </is>
      </c>
      <c r="D158" t="n">
        <v>22</v>
      </c>
      <c r="E158" t="n">
        <v>21</v>
      </c>
      <c r="F158">
        <f>D158-E158</f>
        <v/>
      </c>
      <c r="G158" s="2">
        <f>F158/D158</f>
        <v/>
      </c>
      <c r="H158" t="n">
        <v>276</v>
      </c>
      <c r="I158" t="n">
        <v>42</v>
      </c>
      <c r="J158" s="3">
        <f>D158*H158/900</f>
        <v/>
      </c>
      <c r="K158" s="3">
        <f>ROUNDUP(J158+SQRT(J158)*1.5,0)</f>
        <v/>
      </c>
      <c r="L158" s="4">
        <f>J158/K158</f>
        <v/>
      </c>
      <c r="M158" s="3">
        <f>IF(K158&lt;=J158,"Need More Agents",(P158*H158)/(K158-J158))</f>
        <v/>
      </c>
      <c r="N158" s="4">
        <f>IF(K158&lt;=J158,0,1-(P158*EXP(-((K158-J158)*(90/H158)))))</f>
        <v/>
      </c>
      <c r="P158" s="4">
        <f t="array" ref="P158">IF(K158&lt;=J158,"Need More Agents",
  (POWER(K158,J158)/FACT(K158)*(K158/(K158-J158)))/
  (SUMPRODUCT(POWER(J158,ROW(INDIRECT("1:"&amp;K158))-1)/FACT(ROW(INDIRECT("1:"&amp;K158))-1))+
  (POWER(K158,J158)/FACT(K158)*(K158/(K158-J158)))))</f>
        <v/>
      </c>
    </row>
    <row r="159">
      <c r="A159" t="inlineStr">
        <is>
          <t>Friday</t>
        </is>
      </c>
      <c r="B159" s="1" t="n">
        <v>45667</v>
      </c>
      <c r="C159" t="inlineStr">
        <is>
          <t>11:15-11:30</t>
        </is>
      </c>
      <c r="D159" t="n">
        <v>15</v>
      </c>
      <c r="E159" t="n">
        <v>15</v>
      </c>
      <c r="F159">
        <f>D159-E159</f>
        <v/>
      </c>
      <c r="G159" s="2">
        <f>F159/D159</f>
        <v/>
      </c>
      <c r="H159" t="n">
        <v>270</v>
      </c>
      <c r="I159" t="n">
        <v>28</v>
      </c>
      <c r="J159" s="3">
        <f>D159*H159/900</f>
        <v/>
      </c>
      <c r="K159" s="3">
        <f>ROUNDUP(J159+SQRT(J159)*1.5,0)</f>
        <v/>
      </c>
      <c r="L159" s="4">
        <f>J159/K159</f>
        <v/>
      </c>
      <c r="M159" s="3">
        <f>IF(K159&lt;=J159,"Need More Agents",(P159*H159)/(K159-J159))</f>
        <v/>
      </c>
      <c r="N159" s="4">
        <f>IF(K159&lt;=J159,0,1-(P159*EXP(-((K159-J159)*(90/H159)))))</f>
        <v/>
      </c>
      <c r="P159" s="4">
        <f t="array" ref="P159">IF(K159&lt;=J159,"Need More Agents",
  (POWER(K159,J159)/FACT(K159)*(K159/(K159-J159)))/
  (SUMPRODUCT(POWER(J159,ROW(INDIRECT("1:"&amp;K159))-1)/FACT(ROW(INDIRECT("1:"&amp;K159))-1))+
  (POWER(K159,J159)/FACT(K159)*(K159/(K159-J159)))))</f>
        <v/>
      </c>
    </row>
    <row r="160">
      <c r="A160" t="inlineStr">
        <is>
          <t>Friday</t>
        </is>
      </c>
      <c r="B160" s="1" t="n">
        <v>45667</v>
      </c>
      <c r="C160" t="inlineStr">
        <is>
          <t>11:30-11:45</t>
        </is>
      </c>
      <c r="D160" t="n">
        <v>13</v>
      </c>
      <c r="E160" t="n">
        <v>13</v>
      </c>
      <c r="F160">
        <f>D160-E160</f>
        <v/>
      </c>
      <c r="G160" s="2">
        <f>F160/D160</f>
        <v/>
      </c>
      <c r="H160" t="n">
        <v>264</v>
      </c>
      <c r="I160" t="n">
        <v>26</v>
      </c>
      <c r="J160" s="3">
        <f>D160*H160/900</f>
        <v/>
      </c>
      <c r="K160" s="3">
        <f>ROUNDUP(J160+SQRT(J160)*1.5,0)</f>
        <v/>
      </c>
      <c r="L160" s="4">
        <f>J160/K160</f>
        <v/>
      </c>
      <c r="M160" s="3">
        <f>IF(K160&lt;=J160,"Need More Agents",(P160*H160)/(K160-J160))</f>
        <v/>
      </c>
      <c r="N160" s="4">
        <f>IF(K160&lt;=J160,0,1-(P160*EXP(-((K160-J160)*(90/H160)))))</f>
        <v/>
      </c>
      <c r="P160" s="4">
        <f t="array" ref="P160">IF(K160&lt;=J160,"Need More Agents",
  (POWER(K160,J160)/FACT(K160)*(K160/(K160-J160)))/
  (SUMPRODUCT(POWER(J160,ROW(INDIRECT("1:"&amp;K160))-1)/FACT(ROW(INDIRECT("1:"&amp;K160))-1))+
  (POWER(K160,J160)/FACT(K160)*(K160/(K160-J160)))))</f>
        <v/>
      </c>
    </row>
    <row r="161">
      <c r="A161" t="inlineStr">
        <is>
          <t>Friday</t>
        </is>
      </c>
      <c r="B161" s="1" t="n">
        <v>45667</v>
      </c>
      <c r="C161" t="inlineStr">
        <is>
          <t>11:45-12:00</t>
        </is>
      </c>
      <c r="D161" t="n">
        <v>10</v>
      </c>
      <c r="E161" t="n">
        <v>10</v>
      </c>
      <c r="F161">
        <f>D161-E161</f>
        <v/>
      </c>
      <c r="G161" s="2">
        <f>F161/D161</f>
        <v/>
      </c>
      <c r="H161" t="n">
        <v>270</v>
      </c>
      <c r="I161" t="n">
        <v>23</v>
      </c>
      <c r="J161" s="3">
        <f>D161*H161/900</f>
        <v/>
      </c>
      <c r="K161" s="3">
        <f>ROUNDUP(J161+SQRT(J161)*1.5,0)</f>
        <v/>
      </c>
      <c r="L161" s="4">
        <f>J161/K161</f>
        <v/>
      </c>
      <c r="M161" s="3">
        <f>IF(K161&lt;=J161,"Need More Agents",(P161*H161)/(K161-J161))</f>
        <v/>
      </c>
      <c r="N161" s="4">
        <f>IF(K161&lt;=J161,0,1-(P161*EXP(-((K161-J161)*(90/H161)))))</f>
        <v/>
      </c>
      <c r="P161" s="4">
        <f t="array" ref="P161">IF(K161&lt;=J161,"Need More Agents",
  (POWER(K161,J161)/FACT(K161)*(K161/(K161-J161)))/
  (SUMPRODUCT(POWER(J161,ROW(INDIRECT("1:"&amp;K161))-1)/FACT(ROW(INDIRECT("1:"&amp;K161))-1))+
  (POWER(K161,J161)/FACT(K161)*(K161/(K161-J161)))))</f>
        <v/>
      </c>
    </row>
    <row r="162">
      <c r="A162" t="inlineStr">
        <is>
          <t>Friday</t>
        </is>
      </c>
      <c r="B162" s="1" t="n">
        <v>45667</v>
      </c>
      <c r="C162" t="inlineStr">
        <is>
          <t>12:00-12:15</t>
        </is>
      </c>
      <c r="D162" t="n">
        <v>16</v>
      </c>
      <c r="E162" t="n">
        <v>15</v>
      </c>
      <c r="F162">
        <f>D162-E162</f>
        <v/>
      </c>
      <c r="G162" s="2">
        <f>F162/D162</f>
        <v/>
      </c>
      <c r="H162" t="n">
        <v>264</v>
      </c>
      <c r="I162" t="n">
        <v>39</v>
      </c>
      <c r="J162" s="3">
        <f>D162*H162/900</f>
        <v/>
      </c>
      <c r="K162" s="3">
        <f>ROUNDUP(J162+SQRT(J162)*1.5,0)</f>
        <v/>
      </c>
      <c r="L162" s="4">
        <f>J162/K162</f>
        <v/>
      </c>
      <c r="M162" s="3">
        <f>IF(K162&lt;=J162,"Need More Agents",(P162*H162)/(K162-J162))</f>
        <v/>
      </c>
      <c r="N162" s="4">
        <f>IF(K162&lt;=J162,0,1-(P162*EXP(-((K162-J162)*(90/H162)))))</f>
        <v/>
      </c>
      <c r="P162" s="4">
        <f t="array" ref="P162">IF(K162&lt;=J162,"Need More Agents",
  (POWER(K162,J162)/FACT(K162)*(K162/(K162-J162)))/
  (SUMPRODUCT(POWER(J162,ROW(INDIRECT("1:"&amp;K162))-1)/FACT(ROW(INDIRECT("1:"&amp;K162))-1))+
  (POWER(K162,J162)/FACT(K162)*(K162/(K162-J162)))))</f>
        <v/>
      </c>
    </row>
    <row r="163">
      <c r="A163" t="inlineStr">
        <is>
          <t>Friday</t>
        </is>
      </c>
      <c r="B163" s="1" t="n">
        <v>45667</v>
      </c>
      <c r="C163" t="inlineStr">
        <is>
          <t>12:15-12:30</t>
        </is>
      </c>
      <c r="D163" t="n">
        <v>11</v>
      </c>
      <c r="E163" t="n">
        <v>11</v>
      </c>
      <c r="F163">
        <f>D163-E163</f>
        <v/>
      </c>
      <c r="G163" s="2">
        <f>F163/D163</f>
        <v/>
      </c>
      <c r="H163" t="n">
        <v>270</v>
      </c>
      <c r="I163" t="n">
        <v>24</v>
      </c>
      <c r="J163" s="3">
        <f>D163*H163/900</f>
        <v/>
      </c>
      <c r="K163" s="3">
        <f>ROUNDUP(J163+SQRT(J163)*1.5,0)</f>
        <v/>
      </c>
      <c r="L163" s="4">
        <f>J163/K163</f>
        <v/>
      </c>
      <c r="M163" s="3">
        <f>IF(K163&lt;=J163,"Need More Agents",(P163*H163)/(K163-J163))</f>
        <v/>
      </c>
      <c r="N163" s="4">
        <f>IF(K163&lt;=J163,0,1-(P163*EXP(-((K163-J163)*(90/H163)))))</f>
        <v/>
      </c>
      <c r="P163" s="4">
        <f t="array" ref="P163">IF(K163&lt;=J163,"Need More Agents",
  (POWER(K163,J163)/FACT(K163)*(K163/(K163-J163)))/
  (SUMPRODUCT(POWER(J163,ROW(INDIRECT("1:"&amp;K163))-1)/FACT(ROW(INDIRECT("1:"&amp;K163))-1))+
  (POWER(K163,J163)/FACT(K163)*(K163/(K163-J163)))))</f>
        <v/>
      </c>
    </row>
    <row r="164">
      <c r="A164" t="inlineStr">
        <is>
          <t>Friday</t>
        </is>
      </c>
      <c r="B164" s="1" t="n">
        <v>45667</v>
      </c>
      <c r="C164" t="inlineStr">
        <is>
          <t>12:30-12:45</t>
        </is>
      </c>
      <c r="D164" t="n">
        <v>9</v>
      </c>
      <c r="E164" t="n">
        <v>9</v>
      </c>
      <c r="F164">
        <f>D164-E164</f>
        <v/>
      </c>
      <c r="G164" s="2">
        <f>F164/D164</f>
        <v/>
      </c>
      <c r="H164" t="n">
        <v>264</v>
      </c>
      <c r="I164" t="n">
        <v>22</v>
      </c>
      <c r="J164" s="3">
        <f>D164*H164/900</f>
        <v/>
      </c>
      <c r="K164" s="3">
        <f>ROUNDUP(J164+SQRT(J164)*1.5,0)</f>
        <v/>
      </c>
      <c r="L164" s="4">
        <f>J164/K164</f>
        <v/>
      </c>
      <c r="M164" s="3">
        <f>IF(K164&lt;=J164,"Need More Agents",(P164*H164)/(K164-J164))</f>
        <v/>
      </c>
      <c r="N164" s="4">
        <f>IF(K164&lt;=J164,0,1-(P164*EXP(-((K164-J164)*(90/H164)))))</f>
        <v/>
      </c>
      <c r="P164" s="4">
        <f t="array" ref="P164">IF(K164&lt;=J164,"Need More Agents",
  (POWER(K164,J164)/FACT(K164)*(K164/(K164-J164)))/
  (SUMPRODUCT(POWER(J164,ROW(INDIRECT("1:"&amp;K164))-1)/FACT(ROW(INDIRECT("1:"&amp;K164))-1))+
  (POWER(K164,J164)/FACT(K164)*(K164/(K164-J164)))))</f>
        <v/>
      </c>
    </row>
    <row r="165">
      <c r="A165" t="inlineStr">
        <is>
          <t>Friday</t>
        </is>
      </c>
      <c r="B165" s="1" t="n">
        <v>45667</v>
      </c>
      <c r="C165" t="inlineStr">
        <is>
          <t>12:45-13:00</t>
        </is>
      </c>
      <c r="D165" t="n">
        <v>7</v>
      </c>
      <c r="E165" t="n">
        <v>7</v>
      </c>
      <c r="F165">
        <f>D165-E165</f>
        <v/>
      </c>
      <c r="G165" s="2">
        <f>F165/D165</f>
        <v/>
      </c>
      <c r="H165" t="n">
        <v>270</v>
      </c>
      <c r="I165" t="n">
        <v>20</v>
      </c>
      <c r="J165" s="3">
        <f>D165*H165/900</f>
        <v/>
      </c>
      <c r="K165" s="3">
        <f>ROUNDUP(J165+SQRT(J165)*1.5,0)</f>
        <v/>
      </c>
      <c r="L165" s="4">
        <f>J165/K165</f>
        <v/>
      </c>
      <c r="M165" s="3">
        <f>IF(K165&lt;=J165,"Need More Agents",(P165*H165)/(K165-J165))</f>
        <v/>
      </c>
      <c r="N165" s="4">
        <f>IF(K165&lt;=J165,0,1-(P165*EXP(-((K165-J165)*(90/H165)))))</f>
        <v/>
      </c>
      <c r="P165" s="4">
        <f t="array" ref="P165">IF(K165&lt;=J165,"Need More Agents",
  (POWER(K165,J165)/FACT(K165)*(K165/(K165-J165)))/
  (SUMPRODUCT(POWER(J165,ROW(INDIRECT("1:"&amp;K165))-1)/FACT(ROW(INDIRECT("1:"&amp;K165))-1))+
  (POWER(K165,J165)/FACT(K165)*(K165/(K165-J165)))))</f>
        <v/>
      </c>
    </row>
    <row r="166">
      <c r="A166" t="inlineStr">
        <is>
          <t>Friday</t>
        </is>
      </c>
      <c r="B166" s="1" t="n">
        <v>45667</v>
      </c>
      <c r="C166" t="inlineStr">
        <is>
          <t>13:00-13:15</t>
        </is>
      </c>
      <c r="D166" t="n">
        <v>18</v>
      </c>
      <c r="E166" t="n">
        <v>17</v>
      </c>
      <c r="F166">
        <f>D166-E166</f>
        <v/>
      </c>
      <c r="G166" s="2">
        <f>F166/D166</f>
        <v/>
      </c>
      <c r="H166" t="n">
        <v>276</v>
      </c>
      <c r="I166" t="n">
        <v>40</v>
      </c>
      <c r="J166" s="3">
        <f>D166*H166/900</f>
        <v/>
      </c>
      <c r="K166" s="3">
        <f>ROUNDUP(J166+SQRT(J166)*1.5,0)</f>
        <v/>
      </c>
      <c r="L166" s="4">
        <f>J166/K166</f>
        <v/>
      </c>
      <c r="M166" s="3">
        <f>IF(K166&lt;=J166,"Need More Agents",(P166*H166)/(K166-J166))</f>
        <v/>
      </c>
      <c r="N166" s="4">
        <f>IF(K166&lt;=J166,0,1-(P166*EXP(-((K166-J166)*(90/H166)))))</f>
        <v/>
      </c>
      <c r="P166" s="4">
        <f t="array" ref="P166">IF(K166&lt;=J166,"Need More Agents",
  (POWER(K166,J166)/FACT(K166)*(K166/(K166-J166)))/
  (SUMPRODUCT(POWER(J166,ROW(INDIRECT("1:"&amp;K166))-1)/FACT(ROW(INDIRECT("1:"&amp;K166))-1))+
  (POWER(K166,J166)/FACT(K166)*(K166/(K166-J166)))))</f>
        <v/>
      </c>
    </row>
    <row r="167">
      <c r="A167" t="inlineStr">
        <is>
          <t>Friday</t>
        </is>
      </c>
      <c r="B167" s="1" t="n">
        <v>45667</v>
      </c>
      <c r="C167" t="inlineStr">
        <is>
          <t>13:15-13:30</t>
        </is>
      </c>
      <c r="D167" t="n">
        <v>13</v>
      </c>
      <c r="E167" t="n">
        <v>13</v>
      </c>
      <c r="F167">
        <f>D167-E167</f>
        <v/>
      </c>
      <c r="G167" s="2">
        <f>F167/D167</f>
        <v/>
      </c>
      <c r="H167" t="n">
        <v>270</v>
      </c>
      <c r="I167" t="n">
        <v>27</v>
      </c>
      <c r="J167" s="3">
        <f>D167*H167/900</f>
        <v/>
      </c>
      <c r="K167" s="3">
        <f>ROUNDUP(J167+SQRT(J167)*1.5,0)</f>
        <v/>
      </c>
      <c r="L167" s="4">
        <f>J167/K167</f>
        <v/>
      </c>
      <c r="M167" s="3">
        <f>IF(K167&lt;=J167,"Need More Agents",(P167*H167)/(K167-J167))</f>
        <v/>
      </c>
      <c r="N167" s="4">
        <f>IF(K167&lt;=J167,0,1-(P167*EXP(-((K167-J167)*(90/H167)))))</f>
        <v/>
      </c>
      <c r="P167" s="4">
        <f t="array" ref="P167">IF(K167&lt;=J167,"Need More Agents",
  (POWER(K167,J167)/FACT(K167)*(K167/(K167-J167)))/
  (SUMPRODUCT(POWER(J167,ROW(INDIRECT("1:"&amp;K167))-1)/FACT(ROW(INDIRECT("1:"&amp;K167))-1))+
  (POWER(K167,J167)/FACT(K167)*(K167/(K167-J167)))))</f>
        <v/>
      </c>
    </row>
    <row r="168">
      <c r="A168" t="inlineStr">
        <is>
          <t>Friday</t>
        </is>
      </c>
      <c r="B168" s="1" t="n">
        <v>45667</v>
      </c>
      <c r="C168" t="inlineStr">
        <is>
          <t>13:30-13:45</t>
        </is>
      </c>
      <c r="D168" t="n">
        <v>10</v>
      </c>
      <c r="E168" t="n">
        <v>10</v>
      </c>
      <c r="F168">
        <f>D168-E168</f>
        <v/>
      </c>
      <c r="G168" s="2">
        <f>F168/D168</f>
        <v/>
      </c>
      <c r="H168" t="n">
        <v>264</v>
      </c>
      <c r="I168" t="n">
        <v>23</v>
      </c>
      <c r="J168" s="3">
        <f>D168*H168/900</f>
        <v/>
      </c>
      <c r="K168" s="3">
        <f>ROUNDUP(J168+SQRT(J168)*1.5,0)</f>
        <v/>
      </c>
      <c r="L168" s="4">
        <f>J168/K168</f>
        <v/>
      </c>
      <c r="M168" s="3">
        <f>IF(K168&lt;=J168,"Need More Agents",(P168*H168)/(K168-J168))</f>
        <v/>
      </c>
      <c r="N168" s="4">
        <f>IF(K168&lt;=J168,0,1-(P168*EXP(-((K168-J168)*(90/H168)))))</f>
        <v/>
      </c>
      <c r="P168" s="4">
        <f t="array" ref="P168">IF(K168&lt;=J168,"Need More Agents",
  (POWER(K168,J168)/FACT(K168)*(K168/(K168-J168)))/
  (SUMPRODUCT(POWER(J168,ROW(INDIRECT("1:"&amp;K168))-1)/FACT(ROW(INDIRECT("1:"&amp;K168))-1))+
  (POWER(K168,J168)/FACT(K168)*(K168/(K168-J168)))))</f>
        <v/>
      </c>
    </row>
    <row r="169">
      <c r="A169" t="inlineStr">
        <is>
          <t>Friday</t>
        </is>
      </c>
      <c r="B169" s="1" t="n">
        <v>45667</v>
      </c>
      <c r="C169" t="inlineStr">
        <is>
          <t>13:45-14:00</t>
        </is>
      </c>
      <c r="D169" t="n">
        <v>8</v>
      </c>
      <c r="E169" t="n">
        <v>8</v>
      </c>
      <c r="F169">
        <f>D169-E169</f>
        <v/>
      </c>
      <c r="G169" s="2">
        <f>F169/D169</f>
        <v/>
      </c>
      <c r="H169" t="n">
        <v>270</v>
      </c>
      <c r="I169" t="n">
        <v>21</v>
      </c>
      <c r="J169" s="3">
        <f>D169*H169/900</f>
        <v/>
      </c>
      <c r="K169" s="3">
        <f>ROUNDUP(J169+SQRT(J169)*1.5,0)</f>
        <v/>
      </c>
      <c r="L169" s="4">
        <f>J169/K169</f>
        <v/>
      </c>
      <c r="M169" s="3">
        <f>IF(K169&lt;=J169,"Need More Agents",(P169*H169)/(K169-J169))</f>
        <v/>
      </c>
      <c r="N169" s="4">
        <f>IF(K169&lt;=J169,0,1-(P169*EXP(-((K169-J169)*(90/H169)))))</f>
        <v/>
      </c>
      <c r="P169" s="4">
        <f t="array" ref="P169">IF(K169&lt;=J169,"Need More Agents",
  (POWER(K169,J169)/FACT(K169)*(K169/(K169-J169)))/
  (SUMPRODUCT(POWER(J169,ROW(INDIRECT("1:"&amp;K169))-1)/FACT(ROW(INDIRECT("1:"&amp;K169))-1))+
  (POWER(K169,J169)/FACT(K169)*(K169/(K169-J169)))))</f>
        <v/>
      </c>
    </row>
    <row r="170">
      <c r="A170" t="inlineStr">
        <is>
          <t>Friday</t>
        </is>
      </c>
      <c r="B170" s="1" t="n">
        <v>45667</v>
      </c>
      <c r="C170" t="inlineStr">
        <is>
          <t>14:00-14:15</t>
        </is>
      </c>
      <c r="D170" t="n">
        <v>21</v>
      </c>
      <c r="E170" t="n">
        <v>20</v>
      </c>
      <c r="F170">
        <f>D170-E170</f>
        <v/>
      </c>
      <c r="G170" s="2">
        <f>F170/D170</f>
        <v/>
      </c>
      <c r="H170" t="n">
        <v>276</v>
      </c>
      <c r="I170" t="n">
        <v>42</v>
      </c>
      <c r="J170" s="3">
        <f>D170*H170/900</f>
        <v/>
      </c>
      <c r="K170" s="3">
        <f>ROUNDUP(J170+SQRT(J170)*1.5,0)</f>
        <v/>
      </c>
      <c r="L170" s="4">
        <f>J170/K170</f>
        <v/>
      </c>
      <c r="M170" s="3">
        <f>IF(K170&lt;=J170,"Need More Agents",(P170*H170)/(K170-J170))</f>
        <v/>
      </c>
      <c r="N170" s="4">
        <f>IF(K170&lt;=J170,0,1-(P170*EXP(-((K170-J170)*(90/H170)))))</f>
        <v/>
      </c>
      <c r="P170" s="4">
        <f t="array" ref="P170">IF(K170&lt;=J170,"Need More Agents",
  (POWER(K170,J170)/FACT(K170)*(K170/(K170-J170)))/
  (SUMPRODUCT(POWER(J170,ROW(INDIRECT("1:"&amp;K170))-1)/FACT(ROW(INDIRECT("1:"&amp;K170))-1))+
  (POWER(K170,J170)/FACT(K170)*(K170/(K170-J170)))))</f>
        <v/>
      </c>
    </row>
    <row r="171">
      <c r="A171" t="inlineStr">
        <is>
          <t>Friday</t>
        </is>
      </c>
      <c r="B171" s="1" t="n">
        <v>45667</v>
      </c>
      <c r="C171" t="inlineStr">
        <is>
          <t>14:15-14:30</t>
        </is>
      </c>
      <c r="D171" t="n">
        <v>15</v>
      </c>
      <c r="E171" t="n">
        <v>15</v>
      </c>
      <c r="F171">
        <f>D171-E171</f>
        <v/>
      </c>
      <c r="G171" s="2">
        <f>F171/D171</f>
        <v/>
      </c>
      <c r="H171" t="n">
        <v>270</v>
      </c>
      <c r="I171" t="n">
        <v>28</v>
      </c>
      <c r="J171" s="3">
        <f>D171*H171/900</f>
        <v/>
      </c>
      <c r="K171" s="3">
        <f>ROUNDUP(J171+SQRT(J171)*1.5,0)</f>
        <v/>
      </c>
      <c r="L171" s="4">
        <f>J171/K171</f>
        <v/>
      </c>
      <c r="M171" s="3">
        <f>IF(K171&lt;=J171,"Need More Agents",(P171*H171)/(K171-J171))</f>
        <v/>
      </c>
      <c r="N171" s="4">
        <f>IF(K171&lt;=J171,0,1-(P171*EXP(-((K171-J171)*(90/H171)))))</f>
        <v/>
      </c>
      <c r="P171" s="4">
        <f t="array" ref="P171">IF(K171&lt;=J171,"Need More Agents",
  (POWER(K171,J171)/FACT(K171)*(K171/(K171-J171)))/
  (SUMPRODUCT(POWER(J171,ROW(INDIRECT("1:"&amp;K171))-1)/FACT(ROW(INDIRECT("1:"&amp;K171))-1))+
  (POWER(K171,J171)/FACT(K171)*(K171/(K171-J171)))))</f>
        <v/>
      </c>
    </row>
    <row r="172">
      <c r="A172" t="inlineStr">
        <is>
          <t>Friday</t>
        </is>
      </c>
      <c r="B172" s="1" t="n">
        <v>45667</v>
      </c>
      <c r="C172" t="inlineStr">
        <is>
          <t>14:30-14:45</t>
        </is>
      </c>
      <c r="D172" t="n">
        <v>12</v>
      </c>
      <c r="E172" t="n">
        <v>12</v>
      </c>
      <c r="F172">
        <f>D172-E172</f>
        <v/>
      </c>
      <c r="G172" s="2">
        <f>F172/D172</f>
        <v/>
      </c>
      <c r="H172" t="n">
        <v>264</v>
      </c>
      <c r="I172" t="n">
        <v>25</v>
      </c>
      <c r="J172" s="3">
        <f>D172*H172/900</f>
        <v/>
      </c>
      <c r="K172" s="3">
        <f>ROUNDUP(J172+SQRT(J172)*1.5,0)</f>
        <v/>
      </c>
      <c r="L172" s="4">
        <f>J172/K172</f>
        <v/>
      </c>
      <c r="M172" s="3">
        <f>IF(K172&lt;=J172,"Need More Agents",(P172*H172)/(K172-J172))</f>
        <v/>
      </c>
      <c r="N172" s="4">
        <f>IF(K172&lt;=J172,0,1-(P172*EXP(-((K172-J172)*(90/H172)))))</f>
        <v/>
      </c>
      <c r="P172" s="4">
        <f t="array" ref="P172">IF(K172&lt;=J172,"Need More Agents",
  (POWER(K172,J172)/FACT(K172)*(K172/(K172-J172)))/
  (SUMPRODUCT(POWER(J172,ROW(INDIRECT("1:"&amp;K172))-1)/FACT(ROW(INDIRECT("1:"&amp;K172))-1))+
  (POWER(K172,J172)/FACT(K172)*(K172/(K172-J172)))))</f>
        <v/>
      </c>
    </row>
    <row r="173">
      <c r="A173" t="inlineStr">
        <is>
          <t>Friday</t>
        </is>
      </c>
      <c r="B173" s="1" t="n">
        <v>45667</v>
      </c>
      <c r="C173" t="inlineStr">
        <is>
          <t>14:45-15:00</t>
        </is>
      </c>
      <c r="D173" t="n">
        <v>10</v>
      </c>
      <c r="E173" t="n">
        <v>10</v>
      </c>
      <c r="F173">
        <f>D173-E173</f>
        <v/>
      </c>
      <c r="G173" s="2">
        <f>F173/D173</f>
        <v/>
      </c>
      <c r="H173" t="n">
        <v>270</v>
      </c>
      <c r="I173" t="n">
        <v>23</v>
      </c>
      <c r="J173" s="3">
        <f>D173*H173/900</f>
        <v/>
      </c>
      <c r="K173" s="3">
        <f>ROUNDUP(J173+SQRT(J173)*1.5,0)</f>
        <v/>
      </c>
      <c r="L173" s="4">
        <f>J173/K173</f>
        <v/>
      </c>
      <c r="M173" s="3">
        <f>IF(K173&lt;=J173,"Need More Agents",(P173*H173)/(K173-J173))</f>
        <v/>
      </c>
      <c r="N173" s="4">
        <f>IF(K173&lt;=J173,0,1-(P173*EXP(-((K173-J173)*(90/H173)))))</f>
        <v/>
      </c>
      <c r="P173" s="4">
        <f t="array" ref="P173">IF(K173&lt;=J173,"Need More Agents",
  (POWER(K173,J173)/FACT(K173)*(K173/(K173-J173)))/
  (SUMPRODUCT(POWER(J173,ROW(INDIRECT("1:"&amp;K173))-1)/FACT(ROW(INDIRECT("1:"&amp;K173))-1))+
  (POWER(K173,J173)/FACT(K173)*(K173/(K173-J173)))))</f>
        <v/>
      </c>
    </row>
    <row r="174">
      <c r="A174" t="inlineStr">
        <is>
          <t>Friday</t>
        </is>
      </c>
      <c r="B174" s="1" t="n">
        <v>45667</v>
      </c>
      <c r="C174" t="inlineStr">
        <is>
          <t>15:00-15:15</t>
        </is>
      </c>
      <c r="D174" t="n">
        <v>16</v>
      </c>
      <c r="E174" t="n">
        <v>15</v>
      </c>
      <c r="F174">
        <f>D174-E174</f>
        <v/>
      </c>
      <c r="G174" s="2">
        <f>F174/D174</f>
        <v/>
      </c>
      <c r="H174" t="n">
        <v>270</v>
      </c>
      <c r="I174" t="n">
        <v>39</v>
      </c>
      <c r="J174" s="3">
        <f>D174*H174/900</f>
        <v/>
      </c>
      <c r="K174" s="3">
        <f>ROUNDUP(J174+SQRT(J174)*1.5,0)</f>
        <v/>
      </c>
      <c r="L174" s="4">
        <f>J174/K174</f>
        <v/>
      </c>
      <c r="M174" s="3">
        <f>IF(K174&lt;=J174,"Need More Agents",(P174*H174)/(K174-J174))</f>
        <v/>
      </c>
      <c r="N174" s="4">
        <f>IF(K174&lt;=J174,0,1-(P174*EXP(-((K174-J174)*(90/H174)))))</f>
        <v/>
      </c>
      <c r="P174" s="4">
        <f t="array" ref="P174">IF(K174&lt;=J174,"Need More Agents",
  (POWER(K174,J174)/FACT(K174)*(K174/(K174-J174)))/
  (SUMPRODUCT(POWER(J174,ROW(INDIRECT("1:"&amp;K174))-1)/FACT(ROW(INDIRECT("1:"&amp;K174))-1))+
  (POWER(K174,J174)/FACT(K174)*(K174/(K174-J174)))))</f>
        <v/>
      </c>
    </row>
    <row r="175">
      <c r="A175" t="inlineStr">
        <is>
          <t>Friday</t>
        </is>
      </c>
      <c r="B175" s="1" t="n">
        <v>45667</v>
      </c>
      <c r="C175" t="inlineStr">
        <is>
          <t>15:15-15:30</t>
        </is>
      </c>
      <c r="D175" t="n">
        <v>11</v>
      </c>
      <c r="E175" t="n">
        <v>11</v>
      </c>
      <c r="F175">
        <f>D175-E175</f>
        <v/>
      </c>
      <c r="G175" s="2">
        <f>F175/D175</f>
        <v/>
      </c>
      <c r="H175" t="n">
        <v>264</v>
      </c>
      <c r="I175" t="n">
        <v>24</v>
      </c>
      <c r="J175" s="3">
        <f>D175*H175/900</f>
        <v/>
      </c>
      <c r="K175" s="3">
        <f>ROUNDUP(J175+SQRT(J175)*1.5,0)</f>
        <v/>
      </c>
      <c r="L175" s="4">
        <f>J175/K175</f>
        <v/>
      </c>
      <c r="M175" s="3">
        <f>IF(K175&lt;=J175,"Need More Agents",(P175*H175)/(K175-J175))</f>
        <v/>
      </c>
      <c r="N175" s="4">
        <f>IF(K175&lt;=J175,0,1-(P175*EXP(-((K175-J175)*(90/H175)))))</f>
        <v/>
      </c>
      <c r="P175" s="4">
        <f t="array" ref="P175">IF(K175&lt;=J175,"Need More Agents",
  (POWER(K175,J175)/FACT(K175)*(K175/(K175-J175)))/
  (SUMPRODUCT(POWER(J175,ROW(INDIRECT("1:"&amp;K175))-1)/FACT(ROW(INDIRECT("1:"&amp;K175))-1))+
  (POWER(K175,J175)/FACT(K175)*(K175/(K175-J175)))))</f>
        <v/>
      </c>
    </row>
    <row r="176">
      <c r="A176" t="inlineStr">
        <is>
          <t>Friday</t>
        </is>
      </c>
      <c r="B176" s="1" t="n">
        <v>45667</v>
      </c>
      <c r="C176" t="inlineStr">
        <is>
          <t>15:30-15:45</t>
        </is>
      </c>
      <c r="D176" t="n">
        <v>9</v>
      </c>
      <c r="E176" t="n">
        <v>9</v>
      </c>
      <c r="F176">
        <f>D176-E176</f>
        <v/>
      </c>
      <c r="G176" s="2">
        <f>F176/D176</f>
        <v/>
      </c>
      <c r="H176" t="n">
        <v>270</v>
      </c>
      <c r="I176" t="n">
        <v>22</v>
      </c>
      <c r="J176" s="3">
        <f>D176*H176/900</f>
        <v/>
      </c>
      <c r="K176" s="3">
        <f>ROUNDUP(J176+SQRT(J176)*1.5,0)</f>
        <v/>
      </c>
      <c r="L176" s="4">
        <f>J176/K176</f>
        <v/>
      </c>
      <c r="M176" s="3">
        <f>IF(K176&lt;=J176,"Need More Agents",(P176*H176)/(K176-J176))</f>
        <v/>
      </c>
      <c r="N176" s="4">
        <f>IF(K176&lt;=J176,0,1-(P176*EXP(-((K176-J176)*(90/H176)))))</f>
        <v/>
      </c>
      <c r="P176" s="4">
        <f t="array" ref="P176">IF(K176&lt;=J176,"Need More Agents",
  (POWER(K176,J176)/FACT(K176)*(K176/(K176-J176)))/
  (SUMPRODUCT(POWER(J176,ROW(INDIRECT("1:"&amp;K176))-1)/FACT(ROW(INDIRECT("1:"&amp;K176))-1))+
  (POWER(K176,J176)/FACT(K176)*(K176/(K176-J176)))))</f>
        <v/>
      </c>
    </row>
    <row r="177">
      <c r="A177" t="inlineStr">
        <is>
          <t>Friday</t>
        </is>
      </c>
      <c r="B177" s="1" t="n">
        <v>45667</v>
      </c>
      <c r="C177" t="inlineStr">
        <is>
          <t>15:45-16:00</t>
        </is>
      </c>
      <c r="D177" t="n">
        <v>7</v>
      </c>
      <c r="E177" t="n">
        <v>7</v>
      </c>
      <c r="F177">
        <f>D177-E177</f>
        <v/>
      </c>
      <c r="G177" s="2">
        <f>F177/D177</f>
        <v/>
      </c>
      <c r="H177" t="n">
        <v>264</v>
      </c>
      <c r="I177" t="n">
        <v>20</v>
      </c>
      <c r="J177" s="3">
        <f>D177*H177/900</f>
        <v/>
      </c>
      <c r="K177" s="3">
        <f>ROUNDUP(J177+SQRT(J177)*1.5,0)</f>
        <v/>
      </c>
      <c r="L177" s="4">
        <f>J177/K177</f>
        <v/>
      </c>
      <c r="M177" s="3">
        <f>IF(K177&lt;=J177,"Need More Agents",(P177*H177)/(K177-J177))</f>
        <v/>
      </c>
      <c r="N177" s="4">
        <f>IF(K177&lt;=J177,0,1-(P177*EXP(-((K177-J177)*(90/H177)))))</f>
        <v/>
      </c>
      <c r="P177" s="4">
        <f t="array" ref="P177">IF(K177&lt;=J177,"Need More Agents",
  (POWER(K177,J177)/FACT(K177)*(K177/(K177-J177)))/
  (SUMPRODUCT(POWER(J177,ROW(INDIRECT("1:"&amp;K177))-1)/FACT(ROW(INDIRECT("1:"&amp;K177))-1))+
  (POWER(K177,J177)/FACT(K177)*(K177/(K177-J177)))))</f>
        <v/>
      </c>
    </row>
    <row r="178">
      <c r="A178" t="inlineStr">
        <is>
          <t>Friday</t>
        </is>
      </c>
      <c r="B178" s="1" t="n">
        <v>45667</v>
      </c>
      <c r="C178" t="inlineStr">
        <is>
          <t>16:00-16:15</t>
        </is>
      </c>
      <c r="D178" t="n">
        <v>13</v>
      </c>
      <c r="E178" t="n">
        <v>12</v>
      </c>
      <c r="F178">
        <f>D178-E178</f>
        <v/>
      </c>
      <c r="G178" s="2">
        <f>F178/D178</f>
        <v/>
      </c>
      <c r="H178" t="n">
        <v>276</v>
      </c>
      <c r="I178" t="n">
        <v>44</v>
      </c>
      <c r="J178" s="3">
        <f>D178*H178/900</f>
        <v/>
      </c>
      <c r="K178" s="3">
        <f>ROUNDUP(J178+SQRT(J178)*1.5,0)</f>
        <v/>
      </c>
      <c r="L178" s="4">
        <f>J178/K178</f>
        <v/>
      </c>
      <c r="M178" s="3">
        <f>IF(K178&lt;=J178,"Need More Agents",(P178*H178)/(K178-J178))</f>
        <v/>
      </c>
      <c r="N178" s="4">
        <f>IF(K178&lt;=J178,0,1-(P178*EXP(-((K178-J178)*(90/H178)))))</f>
        <v/>
      </c>
      <c r="P178" s="4">
        <f t="array" ref="P178">IF(K178&lt;=J178,"Need More Agents",
  (POWER(K178,J178)/FACT(K178)*(K178/(K178-J178)))/
  (SUMPRODUCT(POWER(J178,ROW(INDIRECT("1:"&amp;K178))-1)/FACT(ROW(INDIRECT("1:"&amp;K178))-1))+
  (POWER(K178,J178)/FACT(K178)*(K178/(K178-J178)))))</f>
        <v/>
      </c>
    </row>
    <row r="179">
      <c r="A179" t="inlineStr">
        <is>
          <t>Friday</t>
        </is>
      </c>
      <c r="B179" s="1" t="n">
        <v>45667</v>
      </c>
      <c r="C179" t="inlineStr">
        <is>
          <t>16:15-16:30</t>
        </is>
      </c>
      <c r="D179" t="n">
        <v>9</v>
      </c>
      <c r="E179" t="n">
        <v>9</v>
      </c>
      <c r="F179">
        <f>D179-E179</f>
        <v/>
      </c>
      <c r="G179" s="2">
        <f>F179/D179</f>
        <v/>
      </c>
      <c r="H179" t="n">
        <v>270</v>
      </c>
      <c r="I179" t="n">
        <v>22</v>
      </c>
      <c r="J179" s="3">
        <f>D179*H179/900</f>
        <v/>
      </c>
      <c r="K179" s="3">
        <f>ROUNDUP(J179+SQRT(J179)*1.5,0)</f>
        <v/>
      </c>
      <c r="L179" s="4">
        <f>J179/K179</f>
        <v/>
      </c>
      <c r="M179" s="3">
        <f>IF(K179&lt;=J179,"Need More Agents",(P179*H179)/(K179-J179))</f>
        <v/>
      </c>
      <c r="N179" s="4">
        <f>IF(K179&lt;=J179,0,1-(P179*EXP(-((K179-J179)*(90/H179)))))</f>
        <v/>
      </c>
      <c r="P179" s="4">
        <f t="array" ref="P179">IF(K179&lt;=J179,"Need More Agents",
  (POWER(K179,J179)/FACT(K179)*(K179/(K179-J179)))/
  (SUMPRODUCT(POWER(J179,ROW(INDIRECT("1:"&amp;K179))-1)/FACT(ROW(INDIRECT("1:"&amp;K179))-1))+
  (POWER(K179,J179)/FACT(K179)*(K179/(K179-J179)))))</f>
        <v/>
      </c>
    </row>
    <row r="180">
      <c r="A180" t="inlineStr">
        <is>
          <t>Friday</t>
        </is>
      </c>
      <c r="B180" s="1" t="n">
        <v>45667</v>
      </c>
      <c r="C180" t="inlineStr">
        <is>
          <t>16:30-16:45</t>
        </is>
      </c>
      <c r="D180" t="n">
        <v>7</v>
      </c>
      <c r="E180" t="n">
        <v>7</v>
      </c>
      <c r="F180">
        <f>D180-E180</f>
        <v/>
      </c>
      <c r="G180" s="2">
        <f>F180/D180</f>
        <v/>
      </c>
      <c r="H180" t="n">
        <v>264</v>
      </c>
      <c r="I180" t="n">
        <v>20</v>
      </c>
      <c r="J180" s="3">
        <f>D180*H180/900</f>
        <v/>
      </c>
      <c r="K180" s="3">
        <f>ROUNDUP(J180+SQRT(J180)*1.5,0)</f>
        <v/>
      </c>
      <c r="L180" s="4">
        <f>J180/K180</f>
        <v/>
      </c>
      <c r="M180" s="3">
        <f>IF(K180&lt;=J180,"Need More Agents",(P180*H180)/(K180-J180))</f>
        <v/>
      </c>
      <c r="N180" s="4">
        <f>IF(K180&lt;=J180,0,1-(P180*EXP(-((K180-J180)*(90/H180)))))</f>
        <v/>
      </c>
      <c r="P180" s="4">
        <f t="array" ref="P180">IF(K180&lt;=J180,"Need More Agents",
  (POWER(K180,J180)/FACT(K180)*(K180/(K180-J180)))/
  (SUMPRODUCT(POWER(J180,ROW(INDIRECT("1:"&amp;K180))-1)/FACT(ROW(INDIRECT("1:"&amp;K180))-1))+
  (POWER(K180,J180)/FACT(K180)*(K180/(K180-J180)))))</f>
        <v/>
      </c>
    </row>
    <row r="181">
      <c r="A181" t="inlineStr">
        <is>
          <t>Friday</t>
        </is>
      </c>
      <c r="B181" s="1" t="n">
        <v>45667</v>
      </c>
      <c r="C181" t="inlineStr">
        <is>
          <t>16:45-17:00</t>
        </is>
      </c>
      <c r="D181" t="n">
        <v>5</v>
      </c>
      <c r="E181" t="n">
        <v>5</v>
      </c>
      <c r="F181">
        <f>D181-E181</f>
        <v/>
      </c>
      <c r="G181" s="2">
        <f>F181/D181</f>
        <v/>
      </c>
      <c r="H181" t="n">
        <v>270</v>
      </c>
      <c r="I181" t="n">
        <v>18</v>
      </c>
      <c r="J181" s="3">
        <f>D181*H181/900</f>
        <v/>
      </c>
      <c r="K181" s="3">
        <f>ROUNDUP(J181+SQRT(J181)*1.5,0)</f>
        <v/>
      </c>
      <c r="L181" s="4">
        <f>J181/K181</f>
        <v/>
      </c>
      <c r="M181" s="3">
        <f>IF(K181&lt;=J181,"Need More Agents",(P181*H181)/(K181-J181))</f>
        <v/>
      </c>
      <c r="N181" s="4">
        <f>IF(K181&lt;=J181,0,1-(P181*EXP(-((K181-J181)*(90/H181)))))</f>
        <v/>
      </c>
      <c r="P181" s="4">
        <f t="array" ref="P181">IF(K181&lt;=J181,"Need More Agents",
  (POWER(K181,J181)/FACT(K181)*(K181/(K181-J181)))/
  (SUMPRODUCT(POWER(J181,ROW(INDIRECT("1:"&amp;K181))-1)/FACT(ROW(INDIRECT("1:"&amp;K181))-1))+
  (POWER(K181,J181)/FACT(K181)*(K181/(K181-J181)))))</f>
        <v/>
      </c>
    </row>
    <row r="182">
      <c r="A182" t="inlineStr">
        <is>
          <t>Saturday</t>
        </is>
      </c>
      <c r="B182" s="1" t="n">
        <v>45668</v>
      </c>
      <c r="C182" t="inlineStr">
        <is>
          <t>08:00-08:15</t>
        </is>
      </c>
      <c r="D182" t="n">
        <v>8</v>
      </c>
      <c r="E182" t="n">
        <v>8</v>
      </c>
      <c r="F182">
        <f>D182-E182</f>
        <v/>
      </c>
      <c r="G182" s="2">
        <f>F182/D182</f>
        <v/>
      </c>
      <c r="H182" t="n">
        <v>264</v>
      </c>
      <c r="I182" t="n">
        <v>21</v>
      </c>
      <c r="J182" s="3">
        <f>D182*H182/900</f>
        <v/>
      </c>
      <c r="K182" s="3">
        <f>ROUNDUP(J182+SQRT(J182)*1.5,0)</f>
        <v/>
      </c>
      <c r="L182" s="4">
        <f>J182/K182</f>
        <v/>
      </c>
      <c r="M182" s="3">
        <f>IF(K182&lt;=J182,"Need More Agents",(P182*H182)/(K182-J182))</f>
        <v/>
      </c>
      <c r="N182" s="4">
        <f>IF(K182&lt;=J182,0,1-(P182*EXP(-((K182-J182)*(90/H182)))))</f>
        <v/>
      </c>
      <c r="P182" s="4">
        <f t="array" ref="P182">IF(K182&lt;=J182,"Need More Agents",
  (POWER(K182,J182)/FACT(K182)*(K182/(K182-J182)))/
  (SUMPRODUCT(POWER(J182,ROW(INDIRECT("1:"&amp;K182))-1)/FACT(ROW(INDIRECT("1:"&amp;K182))-1))+
  (POWER(K182,J182)/FACT(K182)*(K182/(K182-J182)))))</f>
        <v/>
      </c>
    </row>
    <row r="183">
      <c r="A183" t="inlineStr">
        <is>
          <t>Saturday</t>
        </is>
      </c>
      <c r="B183" s="1" t="n">
        <v>45668</v>
      </c>
      <c r="C183" t="inlineStr">
        <is>
          <t>08:15-08:30</t>
        </is>
      </c>
      <c r="D183" t="n">
        <v>6</v>
      </c>
      <c r="E183" t="n">
        <v>6</v>
      </c>
      <c r="F183">
        <f>D183-E183</f>
        <v/>
      </c>
      <c r="G183" s="2">
        <f>F183/D183</f>
        <v/>
      </c>
      <c r="H183" t="n">
        <v>270</v>
      </c>
      <c r="I183" t="n">
        <v>19</v>
      </c>
      <c r="J183" s="3">
        <f>D183*H183/900</f>
        <v/>
      </c>
      <c r="K183" s="3">
        <f>ROUNDUP(J183+SQRT(J183)*1.5,0)</f>
        <v/>
      </c>
      <c r="L183" s="4">
        <f>J183/K183</f>
        <v/>
      </c>
      <c r="M183" s="3">
        <f>IF(K183&lt;=J183,"Need More Agents",(P183*H183)/(K183-J183))</f>
        <v/>
      </c>
      <c r="N183" s="4">
        <f>IF(K183&lt;=J183,0,1-(P183*EXP(-((K183-J183)*(90/H183)))))</f>
        <v/>
      </c>
      <c r="P183" s="4">
        <f t="array" ref="P183">IF(K183&lt;=J183,"Need More Agents",
  (POWER(K183,J183)/FACT(K183)*(K183/(K183-J183)))/
  (SUMPRODUCT(POWER(J183,ROW(INDIRECT("1:"&amp;K183))-1)/FACT(ROW(INDIRECT("1:"&amp;K183))-1))+
  (POWER(K183,J183)/FACT(K183)*(K183/(K183-J183)))))</f>
        <v/>
      </c>
    </row>
    <row r="184">
      <c r="A184" t="inlineStr">
        <is>
          <t>Saturday</t>
        </is>
      </c>
      <c r="B184" s="1" t="n">
        <v>45668</v>
      </c>
      <c r="C184" t="inlineStr">
        <is>
          <t>08:30-08:45</t>
        </is>
      </c>
      <c r="D184" t="n">
        <v>5</v>
      </c>
      <c r="E184" t="n">
        <v>5</v>
      </c>
      <c r="F184">
        <f>D184-E184</f>
        <v/>
      </c>
      <c r="G184" s="2">
        <f>F184/D184</f>
        <v/>
      </c>
      <c r="H184" t="n">
        <v>264</v>
      </c>
      <c r="I184" t="n">
        <v>18</v>
      </c>
      <c r="J184" s="3">
        <f>D184*H184/900</f>
        <v/>
      </c>
      <c r="K184" s="3">
        <f>ROUNDUP(J184+SQRT(J184)*1.5,0)</f>
        <v/>
      </c>
      <c r="L184" s="4">
        <f>J184/K184</f>
        <v/>
      </c>
      <c r="M184" s="3">
        <f>IF(K184&lt;=J184,"Need More Agents",(P184*H184)/(K184-J184))</f>
        <v/>
      </c>
      <c r="N184" s="4">
        <f>IF(K184&lt;=J184,0,1-(P184*EXP(-((K184-J184)*(90/H184)))))</f>
        <v/>
      </c>
      <c r="P184" s="4">
        <f t="array" ref="P184">IF(K184&lt;=J184,"Need More Agents",
  (POWER(K184,J184)/FACT(K184)*(K184/(K184-J184)))/
  (SUMPRODUCT(POWER(J184,ROW(INDIRECT("1:"&amp;K184))-1)/FACT(ROW(INDIRECT("1:"&amp;K184))-1))+
  (POWER(K184,J184)/FACT(K184)*(K184/(K184-J184)))))</f>
        <v/>
      </c>
    </row>
    <row r="185">
      <c r="A185" t="inlineStr">
        <is>
          <t>Saturday</t>
        </is>
      </c>
      <c r="B185" s="1" t="n">
        <v>45668</v>
      </c>
      <c r="C185" t="inlineStr">
        <is>
          <t>08:45-09:00</t>
        </is>
      </c>
      <c r="D185" t="n">
        <v>4</v>
      </c>
      <c r="E185" t="n">
        <v>4</v>
      </c>
      <c r="F185">
        <f>D185-E185</f>
        <v/>
      </c>
      <c r="G185" s="2">
        <f>F185/D185</f>
        <v/>
      </c>
      <c r="H185" t="n">
        <v>276</v>
      </c>
      <c r="I185" t="n">
        <v>17</v>
      </c>
      <c r="J185" s="3">
        <f>D185*H185/900</f>
        <v/>
      </c>
      <c r="K185" s="3">
        <f>ROUNDUP(J185+SQRT(J185)*1.5,0)</f>
        <v/>
      </c>
      <c r="L185" s="4">
        <f>J185/K185</f>
        <v/>
      </c>
      <c r="M185" s="3">
        <f>IF(K185&lt;=J185,"Need More Agents",(P185*H185)/(K185-J185))</f>
        <v/>
      </c>
      <c r="N185" s="4">
        <f>IF(K185&lt;=J185,0,1-(P185*EXP(-((K185-J185)*(90/H185)))))</f>
        <v/>
      </c>
      <c r="P185" s="4">
        <f t="array" ref="P185">IF(K185&lt;=J185,"Need More Agents",
  (POWER(K185,J185)/FACT(K185)*(K185/(K185-J185)))/
  (SUMPRODUCT(POWER(J185,ROW(INDIRECT("1:"&amp;K185))-1)/FACT(ROW(INDIRECT("1:"&amp;K185))-1))+
  (POWER(K185,J185)/FACT(K185)*(K185/(K185-J185)))))</f>
        <v/>
      </c>
    </row>
    <row r="186">
      <c r="A186" t="inlineStr">
        <is>
          <t>Saturday</t>
        </is>
      </c>
      <c r="B186" s="1" t="n">
        <v>45668</v>
      </c>
      <c r="C186" t="inlineStr">
        <is>
          <t>09:00-09:15</t>
        </is>
      </c>
      <c r="D186" t="n">
        <v>12</v>
      </c>
      <c r="E186" t="n">
        <v>11</v>
      </c>
      <c r="F186">
        <f>D186-E186</f>
        <v/>
      </c>
      <c r="G186" s="2">
        <f>F186/D186</f>
        <v/>
      </c>
      <c r="H186" t="n">
        <v>270</v>
      </c>
      <c r="I186" t="n">
        <v>38</v>
      </c>
      <c r="J186" s="3">
        <f>D186*H186/900</f>
        <v/>
      </c>
      <c r="K186" s="3">
        <f>ROUNDUP(J186+SQRT(J186)*1.5,0)</f>
        <v/>
      </c>
      <c r="L186" s="4">
        <f>J186/K186</f>
        <v/>
      </c>
      <c r="M186" s="3">
        <f>IF(K186&lt;=J186,"Need More Agents",(P186*H186)/(K186-J186))</f>
        <v/>
      </c>
      <c r="N186" s="4">
        <f>IF(K186&lt;=J186,0,1-(P186*EXP(-((K186-J186)*(90/H186)))))</f>
        <v/>
      </c>
      <c r="P186" s="4">
        <f t="array" ref="P186">IF(K186&lt;=J186,"Need More Agents",
  (POWER(K186,J186)/FACT(K186)*(K186/(K186-J186)))/
  (SUMPRODUCT(POWER(J186,ROW(INDIRECT("1:"&amp;K186))-1)/FACT(ROW(INDIRECT("1:"&amp;K186))-1))+
  (POWER(K186,J186)/FACT(K186)*(K186/(K186-J186)))))</f>
        <v/>
      </c>
    </row>
    <row r="187">
      <c r="A187" t="inlineStr">
        <is>
          <t>Saturday</t>
        </is>
      </c>
      <c r="B187" s="1" t="n">
        <v>45668</v>
      </c>
      <c r="C187" t="inlineStr">
        <is>
          <t>09:15-09:30</t>
        </is>
      </c>
      <c r="D187" t="n">
        <v>8</v>
      </c>
      <c r="E187" t="n">
        <v>8</v>
      </c>
      <c r="F187">
        <f>D187-E187</f>
        <v/>
      </c>
      <c r="G187" s="2">
        <f>F187/D187</f>
        <v/>
      </c>
      <c r="H187" t="n">
        <v>264</v>
      </c>
      <c r="I187" t="n">
        <v>21</v>
      </c>
      <c r="J187" s="3">
        <f>D187*H187/900</f>
        <v/>
      </c>
      <c r="K187" s="3">
        <f>ROUNDUP(J187+SQRT(J187)*1.5,0)</f>
        <v/>
      </c>
      <c r="L187" s="4">
        <f>J187/K187</f>
        <v/>
      </c>
      <c r="M187" s="3">
        <f>IF(K187&lt;=J187,"Need More Agents",(P187*H187)/(K187-J187))</f>
        <v/>
      </c>
      <c r="N187" s="4">
        <f>IF(K187&lt;=J187,0,1-(P187*EXP(-((K187-J187)*(90/H187)))))</f>
        <v/>
      </c>
      <c r="P187" s="4">
        <f t="array" ref="P187">IF(K187&lt;=J187,"Need More Agents",
  (POWER(K187,J187)/FACT(K187)*(K187/(K187-J187)))/
  (SUMPRODUCT(POWER(J187,ROW(INDIRECT("1:"&amp;K187))-1)/FACT(ROW(INDIRECT("1:"&amp;K187))-1))+
  (POWER(K187,J187)/FACT(K187)*(K187/(K187-J187)))))</f>
        <v/>
      </c>
    </row>
    <row r="188">
      <c r="A188" t="inlineStr">
        <is>
          <t>Saturday</t>
        </is>
      </c>
      <c r="B188" s="1" t="n">
        <v>45668</v>
      </c>
      <c r="C188" t="inlineStr">
        <is>
          <t>09:30-09:45</t>
        </is>
      </c>
      <c r="D188" t="n">
        <v>7</v>
      </c>
      <c r="E188" t="n">
        <v>7</v>
      </c>
      <c r="F188">
        <f>D188-E188</f>
        <v/>
      </c>
      <c r="G188" s="2">
        <f>F188/D188</f>
        <v/>
      </c>
      <c r="H188" t="n">
        <v>270</v>
      </c>
      <c r="I188" t="n">
        <v>20</v>
      </c>
      <c r="J188" s="3">
        <f>D188*H188/900</f>
        <v/>
      </c>
      <c r="K188" s="3">
        <f>ROUNDUP(J188+SQRT(J188)*1.5,0)</f>
        <v/>
      </c>
      <c r="L188" s="4">
        <f>J188/K188</f>
        <v/>
      </c>
      <c r="M188" s="3">
        <f>IF(K188&lt;=J188,"Need More Agents",(P188*H188)/(K188-J188))</f>
        <v/>
      </c>
      <c r="N188" s="4">
        <f>IF(K188&lt;=J188,0,1-(P188*EXP(-((K188-J188)*(90/H188)))))</f>
        <v/>
      </c>
      <c r="P188" s="4">
        <f t="array" ref="P188">IF(K188&lt;=J188,"Need More Agents",
  (POWER(K188,J188)/FACT(K188)*(K188/(K188-J188)))/
  (SUMPRODUCT(POWER(J188,ROW(INDIRECT("1:"&amp;K188))-1)/FACT(ROW(INDIRECT("1:"&amp;K188))-1))+
  (POWER(K188,J188)/FACT(K188)*(K188/(K188-J188)))))</f>
        <v/>
      </c>
    </row>
    <row r="189">
      <c r="A189" t="inlineStr">
        <is>
          <t>Saturday</t>
        </is>
      </c>
      <c r="B189" s="1" t="n">
        <v>45668</v>
      </c>
      <c r="C189" t="inlineStr">
        <is>
          <t>09:45-10:00</t>
        </is>
      </c>
      <c r="D189" t="n">
        <v>5</v>
      </c>
      <c r="E189" t="n">
        <v>5</v>
      </c>
      <c r="F189">
        <f>D189-E189</f>
        <v/>
      </c>
      <c r="G189" s="2">
        <f>F189/D189</f>
        <v/>
      </c>
      <c r="H189" t="n">
        <v>264</v>
      </c>
      <c r="I189" t="n">
        <v>18</v>
      </c>
      <c r="J189" s="3">
        <f>D189*H189/900</f>
        <v/>
      </c>
      <c r="K189" s="3">
        <f>ROUNDUP(J189+SQRT(J189)*1.5,0)</f>
        <v/>
      </c>
      <c r="L189" s="4">
        <f>J189/K189</f>
        <v/>
      </c>
      <c r="M189" s="3">
        <f>IF(K189&lt;=J189,"Need More Agents",(P189*H189)/(K189-J189))</f>
        <v/>
      </c>
      <c r="N189" s="4">
        <f>IF(K189&lt;=J189,0,1-(P189*EXP(-((K189-J189)*(90/H189)))))</f>
        <v/>
      </c>
      <c r="P189" s="4">
        <f t="array" ref="P189">IF(K189&lt;=J189,"Need More Agents",
  (POWER(K189,J189)/FACT(K189)*(K189/(K189-J189)))/
  (SUMPRODUCT(POWER(J189,ROW(INDIRECT("1:"&amp;K189))-1)/FACT(ROW(INDIRECT("1:"&amp;K189))-1))+
  (POWER(K189,J189)/FACT(K189)*(K189/(K189-J189)))))</f>
        <v/>
      </c>
    </row>
    <row r="190">
      <c r="A190" t="inlineStr">
        <is>
          <t>Saturday</t>
        </is>
      </c>
      <c r="B190" s="1" t="n">
        <v>45668</v>
      </c>
      <c r="C190" t="inlineStr">
        <is>
          <t>10:00-10:15</t>
        </is>
      </c>
      <c r="D190" t="n">
        <v>14</v>
      </c>
      <c r="E190" t="n">
        <v>13</v>
      </c>
      <c r="F190">
        <f>D190-E190</f>
        <v/>
      </c>
      <c r="G190" s="2">
        <f>F190/D190</f>
        <v/>
      </c>
      <c r="H190" t="n">
        <v>276</v>
      </c>
      <c r="I190" t="n">
        <v>42</v>
      </c>
      <c r="J190" s="3">
        <f>D190*H190/900</f>
        <v/>
      </c>
      <c r="K190" s="3">
        <f>ROUNDUP(J190+SQRT(J190)*1.5,0)</f>
        <v/>
      </c>
      <c r="L190" s="4">
        <f>J190/K190</f>
        <v/>
      </c>
      <c r="M190" s="3">
        <f>IF(K190&lt;=J190,"Need More Agents",(P190*H190)/(K190-J190))</f>
        <v/>
      </c>
      <c r="N190" s="4">
        <f>IF(K190&lt;=J190,0,1-(P190*EXP(-((K190-J190)*(90/H190)))))</f>
        <v/>
      </c>
      <c r="P190" s="4">
        <f t="array" ref="P190">IF(K190&lt;=J190,"Need More Agents",
  (POWER(K190,J190)/FACT(K190)*(K190/(K190-J190)))/
  (SUMPRODUCT(POWER(J190,ROW(INDIRECT("1:"&amp;K190))-1)/FACT(ROW(INDIRECT("1:"&amp;K190))-1))+
  (POWER(K190,J190)/FACT(K190)*(K190/(K190-J190)))))</f>
        <v/>
      </c>
    </row>
    <row r="191">
      <c r="A191" t="inlineStr">
        <is>
          <t>Saturday</t>
        </is>
      </c>
      <c r="B191" s="1" t="n">
        <v>45668</v>
      </c>
      <c r="C191" t="inlineStr">
        <is>
          <t>10:15-10:30</t>
        </is>
      </c>
      <c r="D191" t="n">
        <v>10</v>
      </c>
      <c r="E191" t="n">
        <v>10</v>
      </c>
      <c r="F191">
        <f>D191-E191</f>
        <v/>
      </c>
      <c r="G191" s="2">
        <f>F191/D191</f>
        <v/>
      </c>
      <c r="H191" t="n">
        <v>270</v>
      </c>
      <c r="I191" t="n">
        <v>24</v>
      </c>
      <c r="J191" s="3">
        <f>D191*H191/900</f>
        <v/>
      </c>
      <c r="K191" s="3">
        <f>ROUNDUP(J191+SQRT(J191)*1.5,0)</f>
        <v/>
      </c>
      <c r="L191" s="4">
        <f>J191/K191</f>
        <v/>
      </c>
      <c r="M191" s="3">
        <f>IF(K191&lt;=J191,"Need More Agents",(P191*H191)/(K191-J191))</f>
        <v/>
      </c>
      <c r="N191" s="4">
        <f>IF(K191&lt;=J191,0,1-(P191*EXP(-((K191-J191)*(90/H191)))))</f>
        <v/>
      </c>
      <c r="P191" s="4">
        <f t="array" ref="P191">IF(K191&lt;=J191,"Need More Agents",
  (POWER(K191,J191)/FACT(K191)*(K191/(K191-J191)))/
  (SUMPRODUCT(POWER(J191,ROW(INDIRECT("1:"&amp;K191))-1)/FACT(ROW(INDIRECT("1:"&amp;K191))-1))+
  (POWER(K191,J191)/FACT(K191)*(K191/(K191-J191)))))</f>
        <v/>
      </c>
    </row>
    <row r="192">
      <c r="A192" t="inlineStr">
        <is>
          <t>Saturday</t>
        </is>
      </c>
      <c r="B192" s="1" t="n">
        <v>45668</v>
      </c>
      <c r="C192" t="inlineStr">
        <is>
          <t>10:30-10:45</t>
        </is>
      </c>
      <c r="D192" t="n">
        <v>8</v>
      </c>
      <c r="E192" t="n">
        <v>8</v>
      </c>
      <c r="F192">
        <f>D192-E192</f>
        <v/>
      </c>
      <c r="G192" s="2">
        <f>F192/D192</f>
        <v/>
      </c>
      <c r="H192" t="n">
        <v>264</v>
      </c>
      <c r="I192" t="n">
        <v>21</v>
      </c>
      <c r="J192" s="3">
        <f>D192*H192/900</f>
        <v/>
      </c>
      <c r="K192" s="3">
        <f>ROUNDUP(J192+SQRT(J192)*1.5,0)</f>
        <v/>
      </c>
      <c r="L192" s="4">
        <f>J192/K192</f>
        <v/>
      </c>
      <c r="M192" s="3">
        <f>IF(K192&lt;=J192,"Need More Agents",(P192*H192)/(K192-J192))</f>
        <v/>
      </c>
      <c r="N192" s="4">
        <f>IF(K192&lt;=J192,0,1-(P192*EXP(-((K192-J192)*(90/H192)))))</f>
        <v/>
      </c>
      <c r="P192" s="4">
        <f t="array" ref="P192">IF(K192&lt;=J192,"Need More Agents",
  (POWER(K192,J192)/FACT(K192)*(K192/(K192-J192)))/
  (SUMPRODUCT(POWER(J192,ROW(INDIRECT("1:"&amp;K192))-1)/FACT(ROW(INDIRECT("1:"&amp;K192))-1))+
  (POWER(K192,J192)/FACT(K192)*(K192/(K192-J192)))))</f>
        <v/>
      </c>
    </row>
    <row r="193">
      <c r="A193" t="inlineStr">
        <is>
          <t>Saturday</t>
        </is>
      </c>
      <c r="B193" s="1" t="n">
        <v>45668</v>
      </c>
      <c r="C193" t="inlineStr">
        <is>
          <t>10:45-11:00</t>
        </is>
      </c>
      <c r="D193" t="n">
        <v>6</v>
      </c>
      <c r="E193" t="n">
        <v>6</v>
      </c>
      <c r="F193">
        <f>D193-E193</f>
        <v/>
      </c>
      <c r="G193" s="2">
        <f>F193/D193</f>
        <v/>
      </c>
      <c r="H193" t="n">
        <v>270</v>
      </c>
      <c r="I193" t="n">
        <v>19</v>
      </c>
      <c r="J193" s="3">
        <f>D193*H193/900</f>
        <v/>
      </c>
      <c r="K193" s="3">
        <f>ROUNDUP(J193+SQRT(J193)*1.5,0)</f>
        <v/>
      </c>
      <c r="L193" s="4">
        <f>J193/K193</f>
        <v/>
      </c>
      <c r="M193" s="3">
        <f>IF(K193&lt;=J193,"Need More Agents",(P193*H193)/(K193-J193))</f>
        <v/>
      </c>
      <c r="N193" s="4">
        <f>IF(K193&lt;=J193,0,1-(P193*EXP(-((K193-J193)*(90/H193)))))</f>
        <v/>
      </c>
      <c r="P193" s="4">
        <f t="array" ref="P193">IF(K193&lt;=J193,"Need More Agents",
  (POWER(K193,J193)/FACT(K193)*(K193/(K193-J193)))/
  (SUMPRODUCT(POWER(J193,ROW(INDIRECT("1:"&amp;K193))-1)/FACT(ROW(INDIRECT("1:"&amp;K193))-1))+
  (POWER(K193,J193)/FACT(K193)*(K193/(K193-J193)))))</f>
        <v/>
      </c>
    </row>
    <row r="194">
      <c r="A194" t="inlineStr">
        <is>
          <t>Saturday</t>
        </is>
      </c>
      <c r="B194" s="1" t="n">
        <v>45668</v>
      </c>
      <c r="C194" t="inlineStr">
        <is>
          <t>11:00-11:15</t>
        </is>
      </c>
      <c r="D194" t="n">
        <v>13</v>
      </c>
      <c r="E194" t="n">
        <v>12</v>
      </c>
      <c r="F194">
        <f>D194-E194</f>
        <v/>
      </c>
      <c r="G194" s="2">
        <f>F194/D194</f>
        <v/>
      </c>
      <c r="H194" t="n">
        <v>276</v>
      </c>
      <c r="I194" t="n">
        <v>41</v>
      </c>
      <c r="J194" s="3">
        <f>D194*H194/900</f>
        <v/>
      </c>
      <c r="K194" s="3">
        <f>ROUNDUP(J194+SQRT(J194)*1.5,0)</f>
        <v/>
      </c>
      <c r="L194" s="4">
        <f>J194/K194</f>
        <v/>
      </c>
      <c r="M194" s="3">
        <f>IF(K194&lt;=J194,"Need More Agents",(P194*H194)/(K194-J194))</f>
        <v/>
      </c>
      <c r="N194" s="4">
        <f>IF(K194&lt;=J194,0,1-(P194*EXP(-((K194-J194)*(90/H194)))))</f>
        <v/>
      </c>
      <c r="P194" s="4">
        <f t="array" ref="P194">IF(K194&lt;=J194,"Need More Agents",
  (POWER(K194,J194)/FACT(K194)*(K194/(K194-J194)))/
  (SUMPRODUCT(POWER(J194,ROW(INDIRECT("1:"&amp;K194))-1)/FACT(ROW(INDIRECT("1:"&amp;K194))-1))+
  (POWER(K194,J194)/FACT(K194)*(K194/(K194-J194)))))</f>
        <v/>
      </c>
    </row>
    <row r="195">
      <c r="A195" t="inlineStr">
        <is>
          <t>Saturday</t>
        </is>
      </c>
      <c r="B195" s="1" t="n">
        <v>45668</v>
      </c>
      <c r="C195" t="inlineStr">
        <is>
          <t>11:15-11:30</t>
        </is>
      </c>
      <c r="D195" t="n">
        <v>9</v>
      </c>
      <c r="E195" t="n">
        <v>9</v>
      </c>
      <c r="F195">
        <f>D195-E195</f>
        <v/>
      </c>
      <c r="G195" s="2">
        <f>F195/D195</f>
        <v/>
      </c>
      <c r="H195" t="n">
        <v>270</v>
      </c>
      <c r="I195" t="n">
        <v>22</v>
      </c>
      <c r="J195" s="3">
        <f>D195*H195/900</f>
        <v/>
      </c>
      <c r="K195" s="3">
        <f>ROUNDUP(J195+SQRT(J195)*1.5,0)</f>
        <v/>
      </c>
      <c r="L195" s="4">
        <f>J195/K195</f>
        <v/>
      </c>
      <c r="M195" s="3">
        <f>IF(K195&lt;=J195,"Need More Agents",(P195*H195)/(K195-J195))</f>
        <v/>
      </c>
      <c r="N195" s="4">
        <f>IF(K195&lt;=J195,0,1-(P195*EXP(-((K195-J195)*(90/H195)))))</f>
        <v/>
      </c>
      <c r="P195" s="4">
        <f t="array" ref="P195">IF(K195&lt;=J195,"Need More Agents",
  (POWER(K195,J195)/FACT(K195)*(K195/(K195-J195)))/
  (SUMPRODUCT(POWER(J195,ROW(INDIRECT("1:"&amp;K195))-1)/FACT(ROW(INDIRECT("1:"&amp;K195))-1))+
  (POWER(K195,J195)/FACT(K195)*(K195/(K195-J195)))))</f>
        <v/>
      </c>
    </row>
    <row r="196">
      <c r="A196" t="inlineStr">
        <is>
          <t>Saturday</t>
        </is>
      </c>
      <c r="B196" s="1" t="n">
        <v>45668</v>
      </c>
      <c r="C196" t="inlineStr">
        <is>
          <t>11:30-11:45</t>
        </is>
      </c>
      <c r="D196" t="n">
        <v>7</v>
      </c>
      <c r="E196" t="n">
        <v>7</v>
      </c>
      <c r="F196">
        <f>D196-E196</f>
        <v/>
      </c>
      <c r="G196" s="2">
        <f>F196/D196</f>
        <v/>
      </c>
      <c r="H196" t="n">
        <v>264</v>
      </c>
      <c r="I196" t="n">
        <v>20</v>
      </c>
      <c r="J196" s="3">
        <f>D196*H196/900</f>
        <v/>
      </c>
      <c r="K196" s="3">
        <f>ROUNDUP(J196+SQRT(J196)*1.5,0)</f>
        <v/>
      </c>
      <c r="L196" s="4">
        <f>J196/K196</f>
        <v/>
      </c>
      <c r="M196" s="3">
        <f>IF(K196&lt;=J196,"Need More Agents",(P196*H196)/(K196-J196))</f>
        <v/>
      </c>
      <c r="N196" s="4">
        <f>IF(K196&lt;=J196,0,1-(P196*EXP(-((K196-J196)*(90/H196)))))</f>
        <v/>
      </c>
      <c r="P196" s="4">
        <f t="array" ref="P196">IF(K196&lt;=J196,"Need More Agents",
  (POWER(K196,J196)/FACT(K196)*(K196/(K196-J196)))/
  (SUMPRODUCT(POWER(J196,ROW(INDIRECT("1:"&amp;K196))-1)/FACT(ROW(INDIRECT("1:"&amp;K196))-1))+
  (POWER(K196,J196)/FACT(K196)*(K196/(K196-J196)))))</f>
        <v/>
      </c>
    </row>
    <row r="197">
      <c r="A197" t="inlineStr">
        <is>
          <t>Saturday</t>
        </is>
      </c>
      <c r="B197" s="1" t="n">
        <v>45668</v>
      </c>
      <c r="C197" t="inlineStr">
        <is>
          <t>11:45-12:00</t>
        </is>
      </c>
      <c r="D197" t="n">
        <v>6</v>
      </c>
      <c r="E197" t="n">
        <v>6</v>
      </c>
      <c r="F197">
        <f>D197-E197</f>
        <v/>
      </c>
      <c r="G197" s="2">
        <f>F197/D197</f>
        <v/>
      </c>
      <c r="H197" t="n">
        <v>270</v>
      </c>
      <c r="I197" t="n">
        <v>19</v>
      </c>
      <c r="J197" s="3">
        <f>D197*H197/900</f>
        <v/>
      </c>
      <c r="K197" s="3">
        <f>ROUNDUP(J197+SQRT(J197)*1.5,0)</f>
        <v/>
      </c>
      <c r="L197" s="4">
        <f>J197/K197</f>
        <v/>
      </c>
      <c r="M197" s="3">
        <f>IF(K197&lt;=J197,"Need More Agents",(P197*H197)/(K197-J197))</f>
        <v/>
      </c>
      <c r="N197" s="4">
        <f>IF(K197&lt;=J197,0,1-(P197*EXP(-((K197-J197)*(90/H197)))))</f>
        <v/>
      </c>
      <c r="P197" s="4">
        <f t="array" ref="P197">IF(K197&lt;=J197,"Need More Agents",
  (POWER(K197,J197)/FACT(K197)*(K197/(K197-J197)))/
  (SUMPRODUCT(POWER(J197,ROW(INDIRECT("1:"&amp;K197))-1)/FACT(ROW(INDIRECT("1:"&amp;K197))-1))+
  (POWER(K197,J197)/FACT(K197)*(K197/(K197-J197)))))</f>
        <v/>
      </c>
    </row>
    <row r="198">
      <c r="A198" t="inlineStr">
        <is>
          <t>Saturday</t>
        </is>
      </c>
      <c r="B198" s="1" t="n">
        <v>45668</v>
      </c>
      <c r="C198" t="inlineStr">
        <is>
          <t>12:00-12:15</t>
        </is>
      </c>
      <c r="D198" t="n">
        <v>10</v>
      </c>
      <c r="E198" t="n">
        <v>9</v>
      </c>
      <c r="F198">
        <f>D198-E198</f>
        <v/>
      </c>
      <c r="G198" s="2">
        <f>F198/D198</f>
        <v/>
      </c>
      <c r="H198" t="n">
        <v>264</v>
      </c>
      <c r="I198" t="n">
        <v>35</v>
      </c>
      <c r="J198" s="3">
        <f>D198*H198/900</f>
        <v/>
      </c>
      <c r="K198" s="3">
        <f>ROUNDUP(J198+SQRT(J198)*1.5,0)</f>
        <v/>
      </c>
      <c r="L198" s="4">
        <f>J198/K198</f>
        <v/>
      </c>
      <c r="M198" s="3">
        <f>IF(K198&lt;=J198,"Need More Agents",(P198*H198)/(K198-J198))</f>
        <v/>
      </c>
      <c r="N198" s="4">
        <f>IF(K198&lt;=J198,0,1-(P198*EXP(-((K198-J198)*(90/H198)))))</f>
        <v/>
      </c>
      <c r="P198" s="4">
        <f t="array" ref="P198">IF(K198&lt;=J198,"Need More Agents",
  (POWER(K198,J198)/FACT(K198)*(K198/(K198-J198)))/
  (SUMPRODUCT(POWER(J198,ROW(INDIRECT("1:"&amp;K198))-1)/FACT(ROW(INDIRECT("1:"&amp;K198))-1))+
  (POWER(K198,J198)/FACT(K198)*(K198/(K198-J198)))))</f>
        <v/>
      </c>
    </row>
    <row r="199">
      <c r="A199" t="inlineStr">
        <is>
          <t>Saturday</t>
        </is>
      </c>
      <c r="B199" s="1" t="n">
        <v>45668</v>
      </c>
      <c r="C199" t="inlineStr">
        <is>
          <t>12:15-12:30</t>
        </is>
      </c>
      <c r="D199" t="n">
        <v>7</v>
      </c>
      <c r="E199" t="n">
        <v>7</v>
      </c>
      <c r="F199">
        <f>D199-E199</f>
        <v/>
      </c>
      <c r="G199" s="2">
        <f>F199/D199</f>
        <v/>
      </c>
      <c r="H199" t="n">
        <v>270</v>
      </c>
      <c r="I199" t="n">
        <v>20</v>
      </c>
      <c r="J199" s="3">
        <f>D199*H199/900</f>
        <v/>
      </c>
      <c r="K199" s="3">
        <f>ROUNDUP(J199+SQRT(J199)*1.5,0)</f>
        <v/>
      </c>
      <c r="L199" s="4">
        <f>J199/K199</f>
        <v/>
      </c>
      <c r="M199" s="3">
        <f>IF(K199&lt;=J199,"Need More Agents",(P199*H199)/(K199-J199))</f>
        <v/>
      </c>
      <c r="N199" s="4">
        <f>IF(K199&lt;=J199,0,1-(P199*EXP(-((K199-J199)*(90/H199)))))</f>
        <v/>
      </c>
      <c r="P199" s="4">
        <f t="array" ref="P199">IF(K199&lt;=J199,"Need More Agents",
  (POWER(K199,J199)/FACT(K199)*(K199/(K199-J199)))/
  (SUMPRODUCT(POWER(J199,ROW(INDIRECT("1:"&amp;K199))-1)/FACT(ROW(INDIRECT("1:"&amp;K199))-1))+
  (POWER(K199,J199)/FACT(K199)*(K199/(K199-J199)))))</f>
        <v/>
      </c>
    </row>
    <row r="200">
      <c r="A200" t="inlineStr">
        <is>
          <t>Saturday</t>
        </is>
      </c>
      <c r="B200" s="1" t="n">
        <v>45668</v>
      </c>
      <c r="C200" t="inlineStr">
        <is>
          <t>12:30-12:45</t>
        </is>
      </c>
      <c r="D200" t="n">
        <v>5</v>
      </c>
      <c r="E200" t="n">
        <v>5</v>
      </c>
      <c r="F200">
        <f>D200-E200</f>
        <v/>
      </c>
      <c r="G200" s="2">
        <f>F200/D200</f>
        <v/>
      </c>
      <c r="H200" t="n">
        <v>264</v>
      </c>
      <c r="I200" t="n">
        <v>18</v>
      </c>
      <c r="J200" s="3">
        <f>D200*H200/900</f>
        <v/>
      </c>
      <c r="K200" s="3">
        <f>ROUNDUP(J200+SQRT(J200)*1.5,0)</f>
        <v/>
      </c>
      <c r="L200" s="4">
        <f>J200/K200</f>
        <v/>
      </c>
      <c r="M200" s="3">
        <f>IF(K200&lt;=J200,"Need More Agents",(P200*H200)/(K200-J200))</f>
        <v/>
      </c>
      <c r="N200" s="4">
        <f>IF(K200&lt;=J200,0,1-(P200*EXP(-((K200-J200)*(90/H200)))))</f>
        <v/>
      </c>
      <c r="P200" s="4">
        <f t="array" ref="P200">IF(K200&lt;=J200,"Need More Agents",
  (POWER(K200,J200)/FACT(K200)*(K200/(K200-J200)))/
  (SUMPRODUCT(POWER(J200,ROW(INDIRECT("1:"&amp;K200))-1)/FACT(ROW(INDIRECT("1:"&amp;K200))-1))+
  (POWER(K200,J200)/FACT(K200)*(K200/(K200-J200)))))</f>
        <v/>
      </c>
    </row>
    <row r="201">
      <c r="A201" t="inlineStr">
        <is>
          <t>Saturday</t>
        </is>
      </c>
      <c r="B201" s="1" t="n">
        <v>45668</v>
      </c>
      <c r="C201" t="inlineStr">
        <is>
          <t>12:45-13:00</t>
        </is>
      </c>
      <c r="D201" t="n">
        <v>4</v>
      </c>
      <c r="E201" t="n">
        <v>4</v>
      </c>
      <c r="F201">
        <f>D201-E201</f>
        <v/>
      </c>
      <c r="G201" s="2">
        <f>F201/D201</f>
        <v/>
      </c>
      <c r="H201" t="n">
        <v>270</v>
      </c>
      <c r="I201" t="n">
        <v>17</v>
      </c>
      <c r="J201" s="3">
        <f>D201*H201/900</f>
        <v/>
      </c>
      <c r="K201" s="3">
        <f>ROUNDUP(J201+SQRT(J201)*1.5,0)</f>
        <v/>
      </c>
      <c r="L201" s="4">
        <f>J201/K201</f>
        <v/>
      </c>
      <c r="M201" s="3">
        <f>IF(K201&lt;=J201,"Need More Agents",(P201*H201)/(K201-J201))</f>
        <v/>
      </c>
      <c r="N201" s="4">
        <f>IF(K201&lt;=J201,0,1-(P201*EXP(-((K201-J201)*(90/H201)))))</f>
        <v/>
      </c>
      <c r="P201" s="4">
        <f t="array" ref="P201">IF(K201&lt;=J201,"Need More Agents",
  (POWER(K201,J201)/FACT(K201)*(K201/(K201-J201)))/
  (SUMPRODUCT(POWER(J201,ROW(INDIRECT("1:"&amp;K201))-1)/FACT(ROW(INDIRECT("1:"&amp;K201))-1))+
  (POWER(K201,J201)/FACT(K201)*(K201/(K201-J201)))))</f>
        <v/>
      </c>
    </row>
    <row r="202">
      <c r="A202" t="inlineStr">
        <is>
          <t>Saturday</t>
        </is>
      </c>
      <c r="B202" s="1" t="n">
        <v>45668</v>
      </c>
      <c r="C202" t="inlineStr">
        <is>
          <t>13:00-13:15</t>
        </is>
      </c>
      <c r="D202" t="n">
        <v>11</v>
      </c>
      <c r="E202" t="n">
        <v>10</v>
      </c>
      <c r="F202">
        <f>D202-E202</f>
        <v/>
      </c>
      <c r="G202" s="2">
        <f>F202/D202</f>
        <v/>
      </c>
      <c r="H202" t="n">
        <v>276</v>
      </c>
      <c r="I202" t="n">
        <v>37</v>
      </c>
      <c r="J202" s="3">
        <f>D202*H202/900</f>
        <v/>
      </c>
      <c r="K202" s="3">
        <f>ROUNDUP(J202+SQRT(J202)*1.5,0)</f>
        <v/>
      </c>
      <c r="L202" s="4">
        <f>J202/K202</f>
        <v/>
      </c>
      <c r="M202" s="3">
        <f>IF(K202&lt;=J202,"Need More Agents",(P202*H202)/(K202-J202))</f>
        <v/>
      </c>
      <c r="N202" s="4">
        <f>IF(K202&lt;=J202,0,1-(P202*EXP(-((K202-J202)*(90/H202)))))</f>
        <v/>
      </c>
      <c r="P202" s="4">
        <f t="array" ref="P202">IF(K202&lt;=J202,"Need More Agents",
  (POWER(K202,J202)/FACT(K202)*(K202/(K202-J202)))/
  (SUMPRODUCT(POWER(J202,ROW(INDIRECT("1:"&amp;K202))-1)/FACT(ROW(INDIRECT("1:"&amp;K202))-1))+
  (POWER(K202,J202)/FACT(K202)*(K202/(K202-J202)))))</f>
        <v/>
      </c>
    </row>
    <row r="203">
      <c r="A203" t="inlineStr">
        <is>
          <t>Saturday</t>
        </is>
      </c>
      <c r="B203" s="1" t="n">
        <v>45668</v>
      </c>
      <c r="C203" t="inlineStr">
        <is>
          <t>13:15-13:30</t>
        </is>
      </c>
      <c r="D203" t="n">
        <v>8</v>
      </c>
      <c r="E203" t="n">
        <v>8</v>
      </c>
      <c r="F203">
        <f>D203-E203</f>
        <v/>
      </c>
      <c r="G203" s="2">
        <f>F203/D203</f>
        <v/>
      </c>
      <c r="H203" t="n">
        <v>270</v>
      </c>
      <c r="I203" t="n">
        <v>21</v>
      </c>
      <c r="J203" s="3">
        <f>D203*H203/900</f>
        <v/>
      </c>
      <c r="K203" s="3">
        <f>ROUNDUP(J203+SQRT(J203)*1.5,0)</f>
        <v/>
      </c>
      <c r="L203" s="4">
        <f>J203/K203</f>
        <v/>
      </c>
      <c r="M203" s="3">
        <f>IF(K203&lt;=J203,"Need More Agents",(P203*H203)/(K203-J203))</f>
        <v/>
      </c>
      <c r="N203" s="4">
        <f>IF(K203&lt;=J203,0,1-(P203*EXP(-((K203-J203)*(90/H203)))))</f>
        <v/>
      </c>
      <c r="P203" s="4">
        <f t="array" ref="P203">IF(K203&lt;=J203,"Need More Agents",
  (POWER(K203,J203)/FACT(K203)*(K203/(K203-J203)))/
  (SUMPRODUCT(POWER(J203,ROW(INDIRECT("1:"&amp;K203))-1)/FACT(ROW(INDIRECT("1:"&amp;K203))-1))+
  (POWER(K203,J203)/FACT(K203)*(K203/(K203-J203)))))</f>
        <v/>
      </c>
    </row>
    <row r="204">
      <c r="A204" t="inlineStr">
        <is>
          <t>Saturday</t>
        </is>
      </c>
      <c r="B204" s="1" t="n">
        <v>45668</v>
      </c>
      <c r="C204" t="inlineStr">
        <is>
          <t>13:30-13:45</t>
        </is>
      </c>
      <c r="D204" t="n">
        <v>6</v>
      </c>
      <c r="E204" t="n">
        <v>6</v>
      </c>
      <c r="F204">
        <f>D204-E204</f>
        <v/>
      </c>
      <c r="G204" s="2">
        <f>F204/D204</f>
        <v/>
      </c>
      <c r="H204" t="n">
        <v>264</v>
      </c>
      <c r="I204" t="n">
        <v>19</v>
      </c>
      <c r="J204" s="3">
        <f>D204*H204/900</f>
        <v/>
      </c>
      <c r="K204" s="3">
        <f>ROUNDUP(J204+SQRT(J204)*1.5,0)</f>
        <v/>
      </c>
      <c r="L204" s="4">
        <f>J204/K204</f>
        <v/>
      </c>
      <c r="M204" s="3">
        <f>IF(K204&lt;=J204,"Need More Agents",(P204*H204)/(K204-J204))</f>
        <v/>
      </c>
      <c r="N204" s="4">
        <f>IF(K204&lt;=J204,0,1-(P204*EXP(-((K204-J204)*(90/H204)))))</f>
        <v/>
      </c>
      <c r="P204" s="4">
        <f t="array" ref="P204">IF(K204&lt;=J204,"Need More Agents",
  (POWER(K204,J204)/FACT(K204)*(K204/(K204-J204)))/
  (SUMPRODUCT(POWER(J204,ROW(INDIRECT("1:"&amp;K204))-1)/FACT(ROW(INDIRECT("1:"&amp;K204))-1))+
  (POWER(K204,J204)/FACT(K204)*(K204/(K204-J204)))))</f>
        <v/>
      </c>
    </row>
    <row r="205">
      <c r="A205" t="inlineStr">
        <is>
          <t>Saturday</t>
        </is>
      </c>
      <c r="B205" s="1" t="n">
        <v>45668</v>
      </c>
      <c r="C205" t="inlineStr">
        <is>
          <t>13:45-14:00</t>
        </is>
      </c>
      <c r="D205" t="n">
        <v>5</v>
      </c>
      <c r="E205" t="n">
        <v>5</v>
      </c>
      <c r="F205">
        <f>D205-E205</f>
        <v/>
      </c>
      <c r="G205" s="2">
        <f>F205/D205</f>
        <v/>
      </c>
      <c r="H205" t="n">
        <v>270</v>
      </c>
      <c r="I205" t="n">
        <v>18</v>
      </c>
      <c r="J205" s="3">
        <f>D205*H205/900</f>
        <v/>
      </c>
      <c r="K205" s="3">
        <f>ROUNDUP(J205+SQRT(J205)*1.5,0)</f>
        <v/>
      </c>
      <c r="L205" s="4">
        <f>J205/K205</f>
        <v/>
      </c>
      <c r="M205" s="3">
        <f>IF(K205&lt;=J205,"Need More Agents",(P205*H205)/(K205-J205))</f>
        <v/>
      </c>
      <c r="N205" s="4">
        <f>IF(K205&lt;=J205,0,1-(P205*EXP(-((K205-J205)*(90/H205)))))</f>
        <v/>
      </c>
      <c r="P205" s="4">
        <f t="array" ref="P205">IF(K205&lt;=J205,"Need More Agents",
  (POWER(K205,J205)/FACT(K205)*(K205/(K205-J205)))/
  (SUMPRODUCT(POWER(J205,ROW(INDIRECT("1:"&amp;K205))-1)/FACT(ROW(INDIRECT("1:"&amp;K205))-1))+
  (POWER(K205,J205)/FACT(K205)*(K205/(K205-J205)))))</f>
        <v/>
      </c>
    </row>
    <row r="206">
      <c r="A206" t="inlineStr">
        <is>
          <t>Saturday</t>
        </is>
      </c>
      <c r="B206" s="1" t="n">
        <v>45668</v>
      </c>
      <c r="C206" t="inlineStr">
        <is>
          <t>14:00-14:15</t>
        </is>
      </c>
      <c r="D206" t="n">
        <v>12</v>
      </c>
      <c r="E206" t="n">
        <v>11</v>
      </c>
      <c r="F206">
        <f>D206-E206</f>
        <v/>
      </c>
      <c r="G206" s="2">
        <f>F206/D206</f>
        <v/>
      </c>
      <c r="H206" t="n">
        <v>276</v>
      </c>
      <c r="I206" t="n">
        <v>39</v>
      </c>
      <c r="J206" s="3">
        <f>D206*H206/900</f>
        <v/>
      </c>
      <c r="K206" s="3">
        <f>ROUNDUP(J206+SQRT(J206)*1.5,0)</f>
        <v/>
      </c>
      <c r="L206" s="4">
        <f>J206/K206</f>
        <v/>
      </c>
      <c r="M206" s="3">
        <f>IF(K206&lt;=J206,"Need More Agents",(P206*H206)/(K206-J206))</f>
        <v/>
      </c>
      <c r="N206" s="4">
        <f>IF(K206&lt;=J206,0,1-(P206*EXP(-((K206-J206)*(90/H206)))))</f>
        <v/>
      </c>
      <c r="P206" s="4">
        <f t="array" ref="P206">IF(K206&lt;=J206,"Need More Agents",
  (POWER(K206,J206)/FACT(K206)*(K206/(K206-J206)))/
  (SUMPRODUCT(POWER(J206,ROW(INDIRECT("1:"&amp;K206))-1)/FACT(ROW(INDIRECT("1:"&amp;K206))-1))+
  (POWER(K206,J206)/FACT(K206)*(K206/(K206-J206)))))</f>
        <v/>
      </c>
    </row>
    <row r="207">
      <c r="A207" t="inlineStr">
        <is>
          <t>Saturday</t>
        </is>
      </c>
      <c r="B207" s="1" t="n">
        <v>45668</v>
      </c>
      <c r="C207" t="inlineStr">
        <is>
          <t>14:15-14:30</t>
        </is>
      </c>
      <c r="D207" t="n">
        <v>9</v>
      </c>
      <c r="E207" t="n">
        <v>9</v>
      </c>
      <c r="F207">
        <f>D207-E207</f>
        <v/>
      </c>
      <c r="G207" s="2">
        <f>F207/D207</f>
        <v/>
      </c>
      <c r="H207" t="n">
        <v>270</v>
      </c>
      <c r="I207" t="n">
        <v>22</v>
      </c>
      <c r="J207" s="3">
        <f>D207*H207/900</f>
        <v/>
      </c>
      <c r="K207" s="3">
        <f>ROUNDUP(J207+SQRT(J207)*1.5,0)</f>
        <v/>
      </c>
      <c r="L207" s="4">
        <f>J207/K207</f>
        <v/>
      </c>
      <c r="M207" s="3">
        <f>IF(K207&lt;=J207,"Need More Agents",(P207*H207)/(K207-J207))</f>
        <v/>
      </c>
      <c r="N207" s="4">
        <f>IF(K207&lt;=J207,0,1-(P207*EXP(-((K207-J207)*(90/H207)))))</f>
        <v/>
      </c>
      <c r="P207" s="4">
        <f t="array" ref="P207">IF(K207&lt;=J207,"Need More Agents",
  (POWER(K207,J207)/FACT(K207)*(K207/(K207-J207)))/
  (SUMPRODUCT(POWER(J207,ROW(INDIRECT("1:"&amp;K207))-1)/FACT(ROW(INDIRECT("1:"&amp;K207))-1))+
  (POWER(K207,J207)/FACT(K207)*(K207/(K207-J207)))))</f>
        <v/>
      </c>
    </row>
    <row r="208">
      <c r="A208" t="inlineStr">
        <is>
          <t>Saturday</t>
        </is>
      </c>
      <c r="B208" s="1" t="n">
        <v>45668</v>
      </c>
      <c r="C208" t="inlineStr">
        <is>
          <t>14:30-14:45</t>
        </is>
      </c>
      <c r="D208" t="n">
        <v>7</v>
      </c>
      <c r="E208" t="n">
        <v>7</v>
      </c>
      <c r="F208">
        <f>D208-E208</f>
        <v/>
      </c>
      <c r="G208" s="2">
        <f>F208/D208</f>
        <v/>
      </c>
      <c r="H208" t="n">
        <v>264</v>
      </c>
      <c r="I208" t="n">
        <v>20</v>
      </c>
      <c r="J208" s="3">
        <f>D208*H208/900</f>
        <v/>
      </c>
      <c r="K208" s="3">
        <f>ROUNDUP(J208+SQRT(J208)*1.5,0)</f>
        <v/>
      </c>
      <c r="L208" s="4">
        <f>J208/K208</f>
        <v/>
      </c>
      <c r="M208" s="3">
        <f>IF(K208&lt;=J208,"Need More Agents",(P208*H208)/(K208-J208))</f>
        <v/>
      </c>
      <c r="N208" s="4">
        <f>IF(K208&lt;=J208,0,1-(P208*EXP(-((K208-J208)*(90/H208)))))</f>
        <v/>
      </c>
      <c r="P208" s="4">
        <f t="array" ref="P208">IF(K208&lt;=J208,"Need More Agents",
  (POWER(K208,J208)/FACT(K208)*(K208/(K208-J208)))/
  (SUMPRODUCT(POWER(J208,ROW(INDIRECT("1:"&amp;K208))-1)/FACT(ROW(INDIRECT("1:"&amp;K208))-1))+
  (POWER(K208,J208)/FACT(K208)*(K208/(K208-J208)))))</f>
        <v/>
      </c>
    </row>
    <row r="209">
      <c r="A209" t="inlineStr">
        <is>
          <t>Saturday</t>
        </is>
      </c>
      <c r="B209" s="1" t="n">
        <v>45668</v>
      </c>
      <c r="C209" t="inlineStr">
        <is>
          <t>14:45-15:00</t>
        </is>
      </c>
      <c r="D209" t="n">
        <v>5</v>
      </c>
      <c r="E209" t="n">
        <v>5</v>
      </c>
      <c r="F209">
        <f>D209-E209</f>
        <v/>
      </c>
      <c r="G209" s="2">
        <f>F209/D209</f>
        <v/>
      </c>
      <c r="H209" t="n">
        <v>270</v>
      </c>
      <c r="I209" t="n">
        <v>18</v>
      </c>
      <c r="J209" s="3">
        <f>D209*H209/900</f>
        <v/>
      </c>
      <c r="K209" s="3">
        <f>ROUNDUP(J209+SQRT(J209)*1.5,0)</f>
        <v/>
      </c>
      <c r="L209" s="4">
        <f>J209/K209</f>
        <v/>
      </c>
      <c r="M209" s="3">
        <f>IF(K209&lt;=J209,"Need More Agents",(P209*H209)/(K209-J209))</f>
        <v/>
      </c>
      <c r="N209" s="4">
        <f>IF(K209&lt;=J209,0,1-(P209*EXP(-((K209-J209)*(90/H209)))))</f>
        <v/>
      </c>
      <c r="P209" s="4">
        <f t="array" ref="P209">IF(K209&lt;=J209,"Need More Agents",
  (POWER(K209,J209)/FACT(K209)*(K209/(K209-J209)))/
  (SUMPRODUCT(POWER(J209,ROW(INDIRECT("1:"&amp;K209))-1)/FACT(ROW(INDIRECT("1:"&amp;K209))-1))+
  (POWER(K209,J209)/FACT(K209)*(K209/(K209-J209)))))</f>
        <v/>
      </c>
    </row>
    <row r="210">
      <c r="A210" t="inlineStr">
        <is>
          <t>Saturday</t>
        </is>
      </c>
      <c r="B210" s="1" t="n">
        <v>45668</v>
      </c>
      <c r="C210" t="inlineStr">
        <is>
          <t>15:00-15:15</t>
        </is>
      </c>
      <c r="D210" t="n">
        <v>10</v>
      </c>
      <c r="E210" t="n">
        <v>9</v>
      </c>
      <c r="F210">
        <f>D210-E210</f>
        <v/>
      </c>
      <c r="G210" s="2">
        <f>F210/D210</f>
        <v/>
      </c>
      <c r="H210" t="n">
        <v>270</v>
      </c>
      <c r="I210" t="n">
        <v>36</v>
      </c>
      <c r="J210" s="3">
        <f>D210*H210/900</f>
        <v/>
      </c>
      <c r="K210" s="3">
        <f>ROUNDUP(J210+SQRT(J210)*1.5,0)</f>
        <v/>
      </c>
      <c r="L210" s="4">
        <f>J210/K210</f>
        <v/>
      </c>
      <c r="M210" s="3">
        <f>IF(K210&lt;=J210,"Need More Agents",(P210*H210)/(K210-J210))</f>
        <v/>
      </c>
      <c r="N210" s="4">
        <f>IF(K210&lt;=J210,0,1-(P210*EXP(-((K210-J210)*(90/H210)))))</f>
        <v/>
      </c>
      <c r="P210" s="4">
        <f t="array" ref="P210">IF(K210&lt;=J210,"Need More Agents",
  (POWER(K210,J210)/FACT(K210)*(K210/(K210-J210)))/
  (SUMPRODUCT(POWER(J210,ROW(INDIRECT("1:"&amp;K210))-1)/FACT(ROW(INDIRECT("1:"&amp;K210))-1))+
  (POWER(K210,J210)/FACT(K210)*(K210/(K210-J210)))))</f>
        <v/>
      </c>
    </row>
    <row r="211">
      <c r="A211" t="inlineStr">
        <is>
          <t>Saturday</t>
        </is>
      </c>
      <c r="B211" s="1" t="n">
        <v>45668</v>
      </c>
      <c r="C211" t="inlineStr">
        <is>
          <t>15:15-15:30</t>
        </is>
      </c>
      <c r="D211" t="n">
        <v>7</v>
      </c>
      <c r="E211" t="n">
        <v>7</v>
      </c>
      <c r="F211">
        <f>D211-E211</f>
        <v/>
      </c>
      <c r="G211" s="2">
        <f>F211/D211</f>
        <v/>
      </c>
      <c r="H211" t="n">
        <v>264</v>
      </c>
      <c r="I211" t="n">
        <v>20</v>
      </c>
      <c r="J211" s="3">
        <f>D211*H211/900</f>
        <v/>
      </c>
      <c r="K211" s="3">
        <f>ROUNDUP(J211+SQRT(J211)*1.5,0)</f>
        <v/>
      </c>
      <c r="L211" s="4">
        <f>J211/K211</f>
        <v/>
      </c>
      <c r="M211" s="3">
        <f>IF(K211&lt;=J211,"Need More Agents",(P211*H211)/(K211-J211))</f>
        <v/>
      </c>
      <c r="N211" s="4">
        <f>IF(K211&lt;=J211,0,1-(P211*EXP(-((K211-J211)*(90/H211)))))</f>
        <v/>
      </c>
      <c r="P211" s="4">
        <f t="array" ref="P211">IF(K211&lt;=J211,"Need More Agents",
  (POWER(K211,J211)/FACT(K211)*(K211/(K211-J211)))/
  (SUMPRODUCT(POWER(J211,ROW(INDIRECT("1:"&amp;K211))-1)/FACT(ROW(INDIRECT("1:"&amp;K211))-1))+
  (POWER(K211,J211)/FACT(K211)*(K211/(K211-J211)))))</f>
        <v/>
      </c>
    </row>
    <row r="212">
      <c r="A212" t="inlineStr">
        <is>
          <t>Saturday</t>
        </is>
      </c>
      <c r="B212" s="1" t="n">
        <v>45668</v>
      </c>
      <c r="C212" t="inlineStr">
        <is>
          <t>15:30-15:45</t>
        </is>
      </c>
      <c r="D212" t="n">
        <v>5</v>
      </c>
      <c r="E212" t="n">
        <v>5</v>
      </c>
      <c r="F212">
        <f>D212-E212</f>
        <v/>
      </c>
      <c r="G212" s="2">
        <f>F212/D212</f>
        <v/>
      </c>
      <c r="H212" t="n">
        <v>270</v>
      </c>
      <c r="I212" t="n">
        <v>18</v>
      </c>
      <c r="J212" s="3">
        <f>D212*H212/900</f>
        <v/>
      </c>
      <c r="K212" s="3">
        <f>ROUNDUP(J212+SQRT(J212)*1.5,0)</f>
        <v/>
      </c>
      <c r="L212" s="4">
        <f>J212/K212</f>
        <v/>
      </c>
      <c r="M212" s="3">
        <f>IF(K212&lt;=J212,"Need More Agents",(P212*H212)/(K212-J212))</f>
        <v/>
      </c>
      <c r="N212" s="4">
        <f>IF(K212&lt;=J212,0,1-(P212*EXP(-((K212-J212)*(90/H212)))))</f>
        <v/>
      </c>
      <c r="P212" s="4">
        <f t="array" ref="P212">IF(K212&lt;=J212,"Need More Agents",
  (POWER(K212,J212)/FACT(K212)*(K212/(K212-J212)))/
  (SUMPRODUCT(POWER(J212,ROW(INDIRECT("1:"&amp;K212))-1)/FACT(ROW(INDIRECT("1:"&amp;K212))-1))+
  (POWER(K212,J212)/FACT(K212)*(K212/(K212-J212)))))</f>
        <v/>
      </c>
    </row>
    <row r="213">
      <c r="A213" t="inlineStr">
        <is>
          <t>Saturday</t>
        </is>
      </c>
      <c r="B213" s="1" t="n">
        <v>45668</v>
      </c>
      <c r="C213" t="inlineStr">
        <is>
          <t>15:45-16:00</t>
        </is>
      </c>
      <c r="D213" t="n">
        <v>4</v>
      </c>
      <c r="E213" t="n">
        <v>4</v>
      </c>
      <c r="F213">
        <f>D213-E213</f>
        <v/>
      </c>
      <c r="G213" s="2">
        <f>F213/D213</f>
        <v/>
      </c>
      <c r="H213" t="n">
        <v>264</v>
      </c>
      <c r="I213" t="n">
        <v>17</v>
      </c>
      <c r="J213" s="3">
        <f>D213*H213/900</f>
        <v/>
      </c>
      <c r="K213" s="3">
        <f>ROUNDUP(J213+SQRT(J213)*1.5,0)</f>
        <v/>
      </c>
      <c r="L213" s="4">
        <f>J213/K213</f>
        <v/>
      </c>
      <c r="M213" s="3">
        <f>IF(K213&lt;=J213,"Need More Agents",(P213*H213)/(K213-J213))</f>
        <v/>
      </c>
      <c r="N213" s="4">
        <f>IF(K213&lt;=J213,0,1-(P213*EXP(-((K213-J213)*(90/H213)))))</f>
        <v/>
      </c>
      <c r="P213" s="4">
        <f t="array" ref="P213">IF(K213&lt;=J213,"Need More Agents",
  (POWER(K213,J213)/FACT(K213)*(K213/(K213-J213)))/
  (SUMPRODUCT(POWER(J213,ROW(INDIRECT("1:"&amp;K213))-1)/FACT(ROW(INDIRECT("1:"&amp;K213))-1))+
  (POWER(K213,J213)/FACT(K213)*(K213/(K213-J213)))))</f>
        <v/>
      </c>
    </row>
    <row r="214">
      <c r="A214" t="inlineStr">
        <is>
          <t>Saturday</t>
        </is>
      </c>
      <c r="B214" s="1" t="n">
        <v>45668</v>
      </c>
      <c r="C214" t="inlineStr">
        <is>
          <t>16:00-16:15</t>
        </is>
      </c>
      <c r="D214" t="n">
        <v>8</v>
      </c>
      <c r="E214" t="n">
        <v>7</v>
      </c>
      <c r="F214">
        <f>D214-E214</f>
        <v/>
      </c>
      <c r="G214" s="2">
        <f>F214/D214</f>
        <v/>
      </c>
      <c r="H214" t="n">
        <v>276</v>
      </c>
      <c r="I214" t="n">
        <v>40</v>
      </c>
      <c r="J214" s="3">
        <f>D214*H214/900</f>
        <v/>
      </c>
      <c r="K214" s="3">
        <f>ROUNDUP(J214+SQRT(J214)*1.5,0)</f>
        <v/>
      </c>
      <c r="L214" s="4">
        <f>J214/K214</f>
        <v/>
      </c>
      <c r="M214" s="3">
        <f>IF(K214&lt;=J214,"Need More Agents",(P214*H214)/(K214-J214))</f>
        <v/>
      </c>
      <c r="N214" s="4">
        <f>IF(K214&lt;=J214,0,1-(P214*EXP(-((K214-J214)*(90/H214)))))</f>
        <v/>
      </c>
      <c r="P214" s="4">
        <f t="array" ref="P214">IF(K214&lt;=J214,"Need More Agents",
  (POWER(K214,J214)/FACT(K214)*(K214/(K214-J214)))/
  (SUMPRODUCT(POWER(J214,ROW(INDIRECT("1:"&amp;K214))-1)/FACT(ROW(INDIRECT("1:"&amp;K214))-1))+
  (POWER(K214,J214)/FACT(K214)*(K214/(K214-J214)))))</f>
        <v/>
      </c>
    </row>
    <row r="215">
      <c r="A215" t="inlineStr">
        <is>
          <t>Saturday</t>
        </is>
      </c>
      <c r="B215" s="1" t="n">
        <v>45668</v>
      </c>
      <c r="C215" t="inlineStr">
        <is>
          <t>16:15-16:30</t>
        </is>
      </c>
      <c r="D215" t="n">
        <v>6</v>
      </c>
      <c r="E215" t="n">
        <v>6</v>
      </c>
      <c r="F215">
        <f>D215-E215</f>
        <v/>
      </c>
      <c r="G215" s="2">
        <f>F215/D215</f>
        <v/>
      </c>
      <c r="H215" t="n">
        <v>270</v>
      </c>
      <c r="I215" t="n">
        <v>19</v>
      </c>
      <c r="J215" s="3">
        <f>D215*H215/900</f>
        <v/>
      </c>
      <c r="K215" s="3">
        <f>ROUNDUP(J215+SQRT(J215)*1.5,0)</f>
        <v/>
      </c>
      <c r="L215" s="4">
        <f>J215/K215</f>
        <v/>
      </c>
      <c r="M215" s="3">
        <f>IF(K215&lt;=J215,"Need More Agents",(P215*H215)/(K215-J215))</f>
        <v/>
      </c>
      <c r="N215" s="4">
        <f>IF(K215&lt;=J215,0,1-(P215*EXP(-((K215-J215)*(90/H215)))))</f>
        <v/>
      </c>
      <c r="P215" s="4">
        <f t="array" ref="P215">IF(K215&lt;=J215,"Need More Agents",
  (POWER(K215,J215)/FACT(K215)*(K215/(K215-J215)))/
  (SUMPRODUCT(POWER(J215,ROW(INDIRECT("1:"&amp;K215))-1)/FACT(ROW(INDIRECT("1:"&amp;K215))-1))+
  (POWER(K215,J215)/FACT(K215)*(K215/(K215-J215)))))</f>
        <v/>
      </c>
    </row>
    <row r="216">
      <c r="A216" t="inlineStr">
        <is>
          <t>Saturday</t>
        </is>
      </c>
      <c r="B216" s="1" t="n">
        <v>45668</v>
      </c>
      <c r="C216" t="inlineStr">
        <is>
          <t>16:30-16:45</t>
        </is>
      </c>
      <c r="D216" t="n">
        <v>4</v>
      </c>
      <c r="E216" t="n">
        <v>4</v>
      </c>
      <c r="F216">
        <f>D216-E216</f>
        <v/>
      </c>
      <c r="G216" s="2">
        <f>F216/D216</f>
        <v/>
      </c>
      <c r="H216" t="n">
        <v>264</v>
      </c>
      <c r="I216" t="n">
        <v>17</v>
      </c>
      <c r="J216" s="3">
        <f>D216*H216/900</f>
        <v/>
      </c>
      <c r="K216" s="3">
        <f>ROUNDUP(J216+SQRT(J216)*1.5,0)</f>
        <v/>
      </c>
      <c r="L216" s="4">
        <f>J216/K216</f>
        <v/>
      </c>
      <c r="M216" s="3">
        <f>IF(K216&lt;=J216,"Need More Agents",(P216*H216)/(K216-J216))</f>
        <v/>
      </c>
      <c r="N216" s="4">
        <f>IF(K216&lt;=J216,0,1-(P216*EXP(-((K216-J216)*(90/H216)))))</f>
        <v/>
      </c>
      <c r="P216" s="4">
        <f t="array" ref="P216">IF(K216&lt;=J216,"Need More Agents",
  (POWER(K216,J216)/FACT(K216)*(K216/(K216-J216)))/
  (SUMPRODUCT(POWER(J216,ROW(INDIRECT("1:"&amp;K216))-1)/FACT(ROW(INDIRECT("1:"&amp;K216))-1))+
  (POWER(K216,J216)/FACT(K216)*(K216/(K216-J216)))))</f>
        <v/>
      </c>
    </row>
    <row r="217">
      <c r="A217" t="inlineStr">
        <is>
          <t>Saturday</t>
        </is>
      </c>
      <c r="B217" s="1" t="n">
        <v>45668</v>
      </c>
      <c r="C217" t="inlineStr">
        <is>
          <t>16:45-17:00</t>
        </is>
      </c>
      <c r="D217" t="n">
        <v>3</v>
      </c>
      <c r="E217" t="n">
        <v>3</v>
      </c>
      <c r="F217">
        <f>D217-E217</f>
        <v/>
      </c>
      <c r="G217" s="2">
        <f>F217/D217</f>
        <v/>
      </c>
      <c r="H217" t="n">
        <v>270</v>
      </c>
      <c r="I217" t="n">
        <v>16</v>
      </c>
      <c r="J217" s="3">
        <f>D217*H217/900</f>
        <v/>
      </c>
      <c r="K217" s="3">
        <f>ROUNDUP(J217+SQRT(J217)*1.5,0)</f>
        <v/>
      </c>
      <c r="L217" s="4">
        <f>J217/K217</f>
        <v/>
      </c>
      <c r="M217" s="3">
        <f>IF(K217&lt;=J217,"Need More Agents",(P217*H217)/(K217-J217))</f>
        <v/>
      </c>
      <c r="N217" s="4">
        <f>IF(K217&lt;=J217,0,1-(P217*EXP(-((K217-J217)*(90/H217)))))</f>
        <v/>
      </c>
      <c r="P217" s="4">
        <f t="array" ref="P217">IF(K217&lt;=J217,"Need More Agents",
  (POWER(K217,J217)/FACT(K217)*(K217/(K217-J217)))/
  (SUMPRODUCT(POWER(J217,ROW(INDIRECT("1:"&amp;K217))-1)/FACT(ROW(INDIRECT("1:"&amp;K217))-1))+
  (POWER(K217,J217)/FACT(K217)*(K217/(K217-J217)))))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 Pereda</dc:creator>
  <dcterms:created xmlns:dcterms="http://purl.org/dc/terms/" xmlns:xsi="http://www.w3.org/2001/XMLSchema-instance" xsi:type="dcterms:W3CDTF">2025-11-10T18:14:02Z</dcterms:created>
  <dcterms:modified xmlns:dcterms="http://purl.org/dc/terms/" xmlns:xsi="http://www.w3.org/2001/XMLSchema-instance" xsi:type="dcterms:W3CDTF">2025-11-10T20:10:37Z</dcterms:modified>
  <cp:lastModifiedBy>Dan Pereda</cp:lastModifiedBy>
</cp:coreProperties>
</file>