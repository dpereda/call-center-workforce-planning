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Instructions" sheetId="1" state="visible" r:id="rId1"/>
    <sheet xmlns:r="http://schemas.openxmlformats.org/officeDocument/2006/relationships" name="📥 Data Input" sheetId="2" state="visible" r:id="rId2"/>
    <sheet xmlns:r="http://schemas.openxmlformats.org/officeDocument/2006/relationships" name="📈 FORECAST.ETS" sheetId="3" state="visible" r:id="rId3"/>
    <sheet xmlns:r="http://schemas.openxmlformats.org/officeDocument/2006/relationships" name="📉 Seasonal Decomp" sheetId="4" state="visible" r:id="rId4"/>
    <sheet xmlns:r="http://schemas.openxmlformats.org/officeDocument/2006/relationships" name="⚡ Simple Exp Smooth" sheetId="5" state="visible" r:id="rId5"/>
    <sheet xmlns:r="http://schemas.openxmlformats.org/officeDocument/2006/relationships" name="📊 Accuracy Dashboard" sheetId="6" state="visible" r:id="rId6"/>
    <sheet xmlns:r="http://schemas.openxmlformats.org/officeDocument/2006/relationships" name="📅 Event Calendar" sheetId="7" state="visible" r:id="rId7"/>
    <sheet xmlns:r="http://schemas.openxmlformats.org/officeDocument/2006/relationships" name="👥 Staffing Calculat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  <sz val="12"/>
    </font>
    <font>
      <b val="1"/>
    </font>
    <font>
      <b val="1"/>
      <color rgb="00FFFFFF"/>
      <sz val="14"/>
    </font>
    <font>
      <i val="1"/>
      <color rgb="007F7F7F"/>
    </font>
    <font>
      <b val="1"/>
      <color rgb="00FFFFFF"/>
    </font>
    <font>
      <i val="1"/>
      <color rgb="007F7F7F"/>
      <sz val="9"/>
    </font>
    <font>
      <i val="1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6" fillId="4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Call Center Forecast Template - User Guide</t>
        </is>
      </c>
    </row>
    <row r="2">
      <c r="A2" t="inlineStr"/>
    </row>
    <row r="3">
      <c r="A3" s="2" t="inlineStr">
        <is>
          <t>📋 Quick Start (5 minutes)</t>
        </is>
      </c>
    </row>
    <row r="4">
      <c r="A4" t="inlineStr">
        <is>
          <t>1. Go to 'Data Input' sheet</t>
        </is>
      </c>
    </row>
    <row r="5">
      <c r="A5" t="inlineStr">
        <is>
          <t>2. Paste your historical data (Date, Time, Calls_Offered, AHT)</t>
        </is>
      </c>
    </row>
    <row r="6">
      <c r="A6" t="inlineStr">
        <is>
          <t>3. Go to 'FORECAST.ETS' sheet</t>
        </is>
      </c>
    </row>
    <row r="7">
      <c r="A7" t="inlineStr">
        <is>
          <t>4. Review the automatically generated forecast</t>
        </is>
      </c>
    </row>
    <row r="8">
      <c r="A8" t="inlineStr">
        <is>
          <t>5. Check 'Accuracy Dashboard' for MAPE score</t>
        </is>
      </c>
    </row>
    <row r="9">
      <c r="A9" t="inlineStr"/>
    </row>
    <row r="10">
      <c r="A10" s="2" t="inlineStr">
        <is>
          <t>📊 Worksheet Overview</t>
        </is>
      </c>
    </row>
    <row r="11">
      <c r="A11" s="3" t="inlineStr"/>
      <c r="B11" s="3" t="n"/>
    </row>
    <row r="12">
      <c r="A12" t="inlineStr">
        <is>
          <t>Sheet Name</t>
        </is>
      </c>
      <c r="B12" t="inlineStr">
        <is>
          <t>Purpose</t>
        </is>
      </c>
    </row>
    <row r="13">
      <c r="A13" t="inlineStr">
        <is>
          <t>Data Input</t>
        </is>
      </c>
      <c r="B13" t="inlineStr">
        <is>
          <t>Paste your historical call data here (min 12 months)</t>
        </is>
      </c>
    </row>
    <row r="14">
      <c r="A14" t="inlineStr">
        <is>
          <t>FORECAST.ETS</t>
        </is>
      </c>
      <c r="B14" t="inlineStr">
        <is>
          <t>Automated forecasting using Excel 2016+ built-in function</t>
        </is>
      </c>
    </row>
    <row r="15">
      <c r="A15" t="inlineStr">
        <is>
          <t>Seasonal Decomposition</t>
        </is>
      </c>
      <c r="B15" t="inlineStr">
        <is>
          <t>Manual method - works in any Excel version</t>
        </is>
      </c>
    </row>
    <row r="16">
      <c r="A16" t="inlineStr">
        <is>
          <t>Simple Exp Smoothing</t>
        </is>
      </c>
      <c r="B16" t="inlineStr">
        <is>
          <t>Quick short-term (1-3 days) forecast</t>
        </is>
      </c>
    </row>
    <row r="17">
      <c r="A17" t="inlineStr">
        <is>
          <t>Accuracy Dashboard</t>
        </is>
      </c>
      <c r="B17" t="inlineStr">
        <is>
          <t>Track forecast accuracy (MAPE, MAE, RMSE)</t>
        </is>
      </c>
    </row>
    <row r="18">
      <c r="A18" t="inlineStr">
        <is>
          <t>Event Calendar</t>
        </is>
      </c>
      <c r="B18" t="inlineStr">
        <is>
          <t>List special events and volume impacts</t>
        </is>
      </c>
    </row>
    <row r="19">
      <c r="A19" t="inlineStr">
        <is>
          <t>Staffing Calculator</t>
        </is>
      </c>
      <c r="B19" t="inlineStr">
        <is>
          <t>Convert forecasted calls to required agents</t>
        </is>
      </c>
    </row>
    <row r="20">
      <c r="A20" t="inlineStr"/>
    </row>
    <row r="21">
      <c r="A21" s="2" t="inlineStr">
        <is>
          <t>💡 Tips for Best Results</t>
        </is>
      </c>
    </row>
    <row r="22">
      <c r="A22" t="inlineStr">
        <is>
          <t>• Use at least 12 months of data (24-36 months recommended)</t>
        </is>
      </c>
    </row>
    <row r="23">
      <c r="A23" t="inlineStr">
        <is>
          <t>• Data should be in 15-30 minute intervals</t>
        </is>
      </c>
    </row>
    <row r="24">
      <c r="A24" t="inlineStr">
        <is>
          <t>• Remove system outages and data errors before forecasting</t>
        </is>
      </c>
    </row>
    <row r="25">
      <c r="A25" t="inlineStr">
        <is>
          <t>• Update forecasts weekly with latest data</t>
        </is>
      </c>
    </row>
    <row r="26">
      <c r="A26" t="inlineStr">
        <is>
          <t>• Track accuracy and adjust methods if MAPE &gt; 10%</t>
        </is>
      </c>
    </row>
    <row r="27">
      <c r="A27" t="inlineStr"/>
    </row>
    <row r="28">
      <c r="A28" s="2" t="inlineStr">
        <is>
          <t>📈 Accuracy Targets</t>
        </is>
      </c>
    </row>
    <row r="29">
      <c r="A29" t="inlineStr">
        <is>
          <t>MAPE &lt; 5%  = Excellent (highly reliable)</t>
        </is>
      </c>
    </row>
    <row r="30">
      <c r="A30" t="inlineStr">
        <is>
          <t>MAPE 5-7%  = Good (suitable for most decisions)</t>
        </is>
      </c>
    </row>
    <row r="31">
      <c r="A31" t="inlineStr">
        <is>
          <t>MAPE 7-10% = Acceptable (add safety buffers)</t>
        </is>
      </c>
    </row>
    <row r="32">
      <c r="A32" t="inlineStr">
        <is>
          <t>MAPE &gt; 10% = Poor (need more data or different method)</t>
        </is>
      </c>
    </row>
    <row r="33">
      <c r="A33" t="inlineStr"/>
    </row>
    <row r="34">
      <c r="A34" s="2" t="inlineStr">
        <is>
          <t>🔗 Resources</t>
        </is>
      </c>
    </row>
    <row r="35">
      <c r="A35" t="inlineStr">
        <is>
          <t>• Quick Start Guide: FORECASTING_QUICKSTART.md</t>
        </is>
      </c>
    </row>
    <row r="36">
      <c r="A36" t="inlineStr">
        <is>
          <t>• Comprehensive Guide: call_center_forecasting_guide.md</t>
        </is>
      </c>
    </row>
    <row r="37">
      <c r="A37" t="inlineStr">
        <is>
          <t>• GitHub: https://github.com/dpereda/call-center-workforce-planning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Historical Call Data</t>
        </is>
      </c>
    </row>
    <row r="2">
      <c r="A2" s="5" t="inlineStr">
        <is>
          <t>Paste your historical data below (minimum 12 months recommended)</t>
        </is>
      </c>
    </row>
    <row r="4">
      <c r="A4" s="6" t="inlineStr">
        <is>
          <t>Date</t>
        </is>
      </c>
      <c r="B4" s="6" t="inlineStr">
        <is>
          <t>Time_Interval</t>
        </is>
      </c>
      <c r="C4" s="6" t="inlineStr">
        <is>
          <t>Calls_Offered</t>
        </is>
      </c>
      <c r="D4" s="6" t="inlineStr">
        <is>
          <t>AHT_Seconds</t>
        </is>
      </c>
      <c r="E4" s="6" t="inlineStr">
        <is>
          <t>Calls_Answered</t>
        </is>
      </c>
      <c r="F4" s="6" t="inlineStr">
        <is>
          <t>Calls_Abandoned</t>
        </is>
      </c>
    </row>
    <row r="5">
      <c r="A5" t="inlineStr">
        <is>
          <t>1/1/25</t>
        </is>
      </c>
      <c r="B5" t="inlineStr">
        <is>
          <t>08:00-08:15</t>
        </is>
      </c>
      <c r="C5" t="n">
        <v>16</v>
      </c>
      <c r="D5" t="n">
        <v>270</v>
      </c>
      <c r="E5" t="n">
        <v>15</v>
      </c>
      <c r="F5" t="n">
        <v>1</v>
      </c>
    </row>
    <row r="6">
      <c r="A6" t="inlineStr">
        <is>
          <t>1/1/25</t>
        </is>
      </c>
      <c r="B6" t="inlineStr">
        <is>
          <t>08:15-08:30</t>
        </is>
      </c>
      <c r="C6" t="n">
        <v>12</v>
      </c>
      <c r="D6" t="n">
        <v>268</v>
      </c>
      <c r="E6" t="n">
        <v>12</v>
      </c>
      <c r="F6" t="n">
        <v>0</v>
      </c>
    </row>
    <row r="7">
      <c r="A7" t="inlineStr">
        <is>
          <t>1/1/25</t>
        </is>
      </c>
      <c r="B7" t="inlineStr">
        <is>
          <t>08:30-08:45</t>
        </is>
      </c>
      <c r="C7" t="n">
        <v>9</v>
      </c>
      <c r="D7" t="n">
        <v>275</v>
      </c>
      <c r="E7" t="n">
        <v>9</v>
      </c>
      <c r="F7" t="n">
        <v>0</v>
      </c>
    </row>
    <row r="8">
      <c r="A8" t="inlineStr">
        <is>
          <t>(Paste your data starting from row 5)</t>
        </is>
      </c>
      <c r="B8" t="inlineStr"/>
      <c r="C8" t="inlineStr"/>
      <c r="D8" t="inlineStr"/>
      <c r="E8" t="inlineStr"/>
      <c r="F8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FORECAST.ETS - Automated Forecasting</t>
        </is>
      </c>
    </row>
    <row r="2">
      <c r="A2" s="5" t="inlineStr">
        <is>
          <t>This method uses Excel 2016+ Triple Exponential Smoothing (Holt-Winters). Requires Excel 2016 or newer.</t>
        </is>
      </c>
    </row>
    <row r="4">
      <c r="A4" s="2" t="inlineStr">
        <is>
          <t>📊 Setup</t>
        </is>
      </c>
    </row>
    <row r="5">
      <c r="A5" t="inlineStr">
        <is>
          <t>Historical Data Range:</t>
        </is>
      </c>
      <c r="B5">
        <f>'📥 Data Input'!A5:A1000</f>
        <v/>
      </c>
    </row>
    <row r="6">
      <c r="A6" t="inlineStr">
        <is>
          <t>Forecast Start Date:</t>
        </is>
      </c>
      <c r="B6">
        <f>TODAY()+1</f>
        <v/>
      </c>
    </row>
    <row r="7">
      <c r="A7" t="inlineStr">
        <is>
          <t>Forecast Periods:</t>
        </is>
      </c>
      <c r="B7" t="n">
        <v>672</v>
      </c>
      <c r="C7" s="7" t="inlineStr">
        <is>
          <t>(672 = 1 week of 15-min intervals)</t>
        </is>
      </c>
    </row>
    <row r="8">
      <c r="A8" t="inlineStr">
        <is>
          <t>Seasonality (96 = daily for 15-min):</t>
        </is>
      </c>
      <c r="B8" t="n">
        <v>96</v>
      </c>
    </row>
    <row r="10">
      <c r="A10" s="6" t="inlineStr">
        <is>
          <t>Date</t>
        </is>
      </c>
      <c r="B10" s="6" t="inlineStr">
        <is>
          <t>Time_Interval</t>
        </is>
      </c>
      <c r="C10" s="6" t="inlineStr">
        <is>
          <t>Forecasted_Calls</t>
        </is>
      </c>
      <c r="D10" s="6" t="inlineStr">
        <is>
          <t>Lower_Bound_95%</t>
        </is>
      </c>
      <c r="E10" s="6" t="inlineStr">
        <is>
          <t>Upper_Bound_95%</t>
        </is>
      </c>
      <c r="F10" s="6" t="inlineStr">
        <is>
          <t>Event_Adjustment</t>
        </is>
      </c>
      <c r="G10" s="6" t="inlineStr">
        <is>
          <t>Final_Forecast</t>
        </is>
      </c>
    </row>
    <row r="11">
      <c r="A11">
        <f>$B$6</f>
        <v/>
      </c>
      <c r="B11">
        <f>"08:00-08:15"</f>
        <v/>
      </c>
      <c r="C11">
        <f>IFERROR(FORECAST.ETS($A11, '📥 Data Input'!$C$5:$C$1000, '📥 Data Input'!$A$5:$A$1000, $B$8, 1, 1), "Need Excel 2016+")</f>
        <v/>
      </c>
      <c r="D11">
        <f>IFERROR(C11 - FORECAST.ETS.CONFINT($A11, '📥 Data Input'!$C$5:$C$1000, '📥 Data Input'!$A$5:$A$1000, 0.95, $B$8), "")</f>
        <v/>
      </c>
      <c r="E11">
        <f>IFERROR(C11 + FORECAST.ETS.CONFINT($A11, '📥 Data Input'!$C$5:$C$1000, '📥 Data Input'!$A$5:$A$1000, 0.95, $B$8), "")</f>
        <v/>
      </c>
      <c r="F11" t="n">
        <v>1</v>
      </c>
      <c r="G11">
        <f>C11*F11</f>
        <v/>
      </c>
    </row>
    <row r="13">
      <c r="A13" s="5" t="inlineStr">
        <is>
          <t>Instructions: Copy formulas in row 11 down for all forecast periods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2" customWidth="1" min="5" max="5"/>
    <col width="15" customWidth="1" min="6" max="6"/>
  </cols>
  <sheetData>
    <row r="1">
      <c r="A1" s="4" t="inlineStr">
        <is>
          <t>Seasonal Decomposition Method</t>
        </is>
      </c>
    </row>
    <row r="2">
      <c r="A2" s="5" t="inlineStr">
        <is>
          <t>This method works in ANY Excel version. Formula: Forecast = Trend × Seasonal_Index</t>
        </is>
      </c>
    </row>
    <row r="4">
      <c r="A4" s="2" t="inlineStr">
        <is>
          <t>Step 1: Calculate Seasonal Indices</t>
        </is>
      </c>
    </row>
    <row r="5">
      <c r="A5" s="3" t="inlineStr">
        <is>
          <t>Time Interval</t>
        </is>
      </c>
      <c r="B5" s="3" t="inlineStr">
        <is>
          <t>Avg Calls (Historical)</t>
        </is>
      </c>
      <c r="C5" s="3" t="inlineStr">
        <is>
          <t>Overall Average</t>
        </is>
      </c>
      <c r="D5" s="3" t="inlineStr">
        <is>
          <t>Seasonal Index</t>
        </is>
      </c>
    </row>
    <row r="6">
      <c r="A6" t="inlineStr">
        <is>
          <t>08:00-08:15</t>
        </is>
      </c>
      <c r="B6">
        <f>AVERAGEIF('📥 Data Input'!$B$5:$B$1000, A6, '📥 Data Input'!$C$5:$C$1000)</f>
        <v/>
      </c>
      <c r="C6">
        <f>AVERAGE('📥 Data Input'!$C$5:$C$1000)</f>
        <v/>
      </c>
      <c r="D6">
        <f>B6/C6</f>
        <v/>
      </c>
    </row>
    <row r="7">
      <c r="A7" t="inlineStr">
        <is>
          <t>08:15-08:30</t>
        </is>
      </c>
    </row>
    <row r="8">
      <c r="A8" t="inlineStr">
        <is>
          <t>08:30-08:45</t>
        </is>
      </c>
    </row>
    <row r="9">
      <c r="A9" t="inlineStr">
        <is>
          <t>...(continue for all 96 intervals)</t>
        </is>
      </c>
    </row>
    <row r="12">
      <c r="A12" s="2" t="inlineStr">
        <is>
          <t>Step 2: Calculate Trend</t>
        </is>
      </c>
    </row>
    <row r="13">
      <c r="A13" s="8" t="inlineStr">
        <is>
          <t>Use linear regression or moving average to determine growth trend</t>
        </is>
      </c>
      <c r="B13" t="inlineStr">
        <is>
          <t>Trend_Multiplier:</t>
        </is>
      </c>
      <c r="C13" t="n">
        <v>1.07</v>
      </c>
      <c r="D13" s="7" t="inlineStr">
        <is>
          <t>(Example: 1.07 = 7% annual growth)</t>
        </is>
      </c>
    </row>
    <row r="16">
      <c r="A16" s="2" t="inlineStr">
        <is>
          <t>Step 3: Generate Forecast</t>
        </is>
      </c>
    </row>
    <row r="17">
      <c r="A17" s="9" t="inlineStr">
        <is>
          <t>Date</t>
        </is>
      </c>
      <c r="B17" s="9" t="inlineStr">
        <is>
          <t>Time_Interval</t>
        </is>
      </c>
      <c r="C17" s="9" t="inlineStr">
        <is>
          <t>Base_Calls</t>
        </is>
      </c>
      <c r="D17" s="9" t="inlineStr">
        <is>
          <t>Seasonal_Index</t>
        </is>
      </c>
      <c r="E17" s="9" t="inlineStr">
        <is>
          <t>Trend</t>
        </is>
      </c>
      <c r="F17" s="9" t="inlineStr">
        <is>
          <t>Forecast</t>
        </is>
      </c>
    </row>
    <row r="18">
      <c r="A18">
        <f>TODAY()+1</f>
        <v/>
      </c>
      <c r="B18" t="inlineStr">
        <is>
          <t>08:00-08:15</t>
        </is>
      </c>
      <c r="C18">
        <f>AVERAGE('📥 Data Input'!$C$5:$C$1000)</f>
        <v/>
      </c>
      <c r="D18">
        <f>VLOOKUP(B18, $A$6:$D$101, 4, FALSE)</f>
        <v/>
      </c>
      <c r="E18">
        <f>$C$13</f>
        <v/>
      </c>
      <c r="F18">
        <f>C18*D18*E18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4" t="inlineStr">
        <is>
          <t>Simple Exponential Smoothing</t>
        </is>
      </c>
    </row>
    <row r="2">
      <c r="A2" s="5" t="inlineStr">
        <is>
          <t>Best for short-term forecasts (1-3 days). Formula: Forecast = α × Actual + (1-α) × Previous_Forecast</t>
        </is>
      </c>
    </row>
    <row r="4">
      <c r="A4" t="inlineStr">
        <is>
          <t>Alpha (α):</t>
        </is>
      </c>
      <c r="B4" t="n">
        <v>0.3</v>
      </c>
      <c r="C4" s="7" t="inlineStr">
        <is>
          <t>(0.1-0.3 for stable, 0.4-0.6 for volatile)</t>
        </is>
      </c>
    </row>
    <row r="5">
      <c r="A5" t="inlineStr">
        <is>
          <t>Initial Forecast:</t>
        </is>
      </c>
      <c r="B5">
        <f>AVERAGE('📥 Data Input'!$C$5:$C$100)</f>
        <v/>
      </c>
    </row>
    <row r="7">
      <c r="A7" s="9" t="inlineStr">
        <is>
          <t>Date</t>
        </is>
      </c>
      <c r="B7" s="9" t="inlineStr">
        <is>
          <t>Time_Interval</t>
        </is>
      </c>
      <c r="C7" s="9" t="inlineStr">
        <is>
          <t>Actual_Calls</t>
        </is>
      </c>
      <c r="D7" s="9" t="inlineStr">
        <is>
          <t>Forecast</t>
        </is>
      </c>
      <c r="E7" s="9" t="inlineStr">
        <is>
          <t>Error</t>
        </is>
      </c>
    </row>
    <row r="8">
      <c r="A8">
        <f>'📥 Data Input'!A5</f>
        <v/>
      </c>
      <c r="B8">
        <f>'📥 Data Input'!B5</f>
        <v/>
      </c>
      <c r="C8">
        <f>'📥 Data Input'!C5</f>
        <v/>
      </c>
      <c r="D8">
        <f>$B$5</f>
        <v/>
      </c>
      <c r="E8">
        <f>C8-D8</f>
        <v/>
      </c>
    </row>
    <row r="9">
      <c r="A9">
        <f>'📥 Data Input'!A6</f>
        <v/>
      </c>
      <c r="B9">
        <f>'📥 Data Input'!B6</f>
        <v/>
      </c>
      <c r="C9">
        <f>'📥 Data Input'!C6</f>
        <v/>
      </c>
      <c r="D9">
        <f>$B$4*C8+(1-$B$4)*D8</f>
        <v/>
      </c>
      <c r="E9">
        <f>C9-D9</f>
        <v/>
      </c>
    </row>
    <row r="11">
      <c r="A11" s="5" t="inlineStr">
        <is>
          <t>Copy row 9 formulas down for all historical data, then continue for forecast periods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4" t="inlineStr">
        <is>
          <t>Forecast Accuracy Metrics</t>
        </is>
      </c>
    </row>
    <row r="3">
      <c r="A3" s="2" t="inlineStr">
        <is>
          <t>📈 Key Metrics</t>
        </is>
      </c>
    </row>
    <row r="4">
      <c r="A4" s="9" t="inlineStr">
        <is>
          <t>Metric</t>
        </is>
      </c>
      <c r="B4" s="9" t="inlineStr">
        <is>
          <t>Formula</t>
        </is>
      </c>
      <c r="C4" s="9" t="inlineStr">
        <is>
          <t>Your Result</t>
        </is>
      </c>
      <c r="D4" s="9" t="inlineStr">
        <is>
          <t>Target</t>
        </is>
      </c>
    </row>
    <row r="5">
      <c r="A5" t="inlineStr">
        <is>
          <t>MAPE (%)</t>
        </is>
      </c>
      <c r="B5">
        <f>AVERAGE(ABS((Actual-Forecast)/Actual)*100)</f>
        <v/>
      </c>
      <c r="C5" t="inlineStr"/>
      <c r="D5" t="inlineStr">
        <is>
          <t>&lt; 7%</t>
        </is>
      </c>
    </row>
    <row r="6">
      <c r="A6" t="inlineStr">
        <is>
          <t>MAE</t>
        </is>
      </c>
      <c r="B6">
        <f>AVERAGE(ABS(Actual-Forecast))</f>
        <v/>
      </c>
      <c r="C6" t="inlineStr"/>
      <c r="D6" t="inlineStr">
        <is>
          <t>&lt; 5 calls</t>
        </is>
      </c>
    </row>
    <row r="7">
      <c r="A7" t="inlineStr">
        <is>
          <t>RMSE</t>
        </is>
      </c>
      <c r="B7">
        <f>SQRT(AVERAGE((Actual-Forecast)^2))</f>
        <v/>
      </c>
      <c r="C7" t="inlineStr"/>
      <c r="D7" t="inlineStr">
        <is>
          <t>&lt; 8 calls</t>
        </is>
      </c>
    </row>
    <row r="8">
      <c r="A8" t="inlineStr">
        <is>
          <t>Bias</t>
        </is>
      </c>
      <c r="B8">
        <f>AVERAGE(Forecast-Actual)</f>
        <v/>
      </c>
      <c r="C8" t="inlineStr"/>
      <c r="D8" t="inlineStr">
        <is>
          <t>~0 (unbiased)</t>
        </is>
      </c>
    </row>
    <row r="10">
      <c r="A10" s="2" t="inlineStr">
        <is>
          <t>📝 How to Use This Dashboard</t>
        </is>
      </c>
    </row>
    <row r="11">
      <c r="A11" t="inlineStr">
        <is>
          <t>1. Replace 'Actual' and 'Forecast' in formulas above with your data ranges</t>
        </is>
      </c>
    </row>
    <row r="12">
      <c r="A12" t="inlineStr">
        <is>
          <t>2. MAPE &lt; 7% is good for call center forecasting</t>
        </is>
      </c>
    </row>
    <row r="13">
      <c r="A13" t="inlineStr">
        <is>
          <t>3. Track these metrics weekly to monitor forecast quality</t>
        </is>
      </c>
    </row>
    <row r="14">
      <c r="A14" t="inlineStr">
        <is>
          <t>4. If MAPE &gt; 10%, review your method or data quality</t>
        </is>
      </c>
    </row>
    <row r="16">
      <c r="A16" s="2" t="inlineStr">
        <is>
          <t>📋 Detailed Error Analysis</t>
        </is>
      </c>
    </row>
    <row r="17">
      <c r="A17" s="9" t="inlineStr">
        <is>
          <t>Date</t>
        </is>
      </c>
      <c r="B17" s="9" t="inlineStr">
        <is>
          <t>Time</t>
        </is>
      </c>
      <c r="C17" s="9" t="inlineStr">
        <is>
          <t>Actual</t>
        </is>
      </c>
      <c r="D17" s="9" t="inlineStr">
        <is>
          <t>Forecast</t>
        </is>
      </c>
      <c r="E17" s="9" t="inlineStr">
        <is>
          <t>Error</t>
        </is>
      </c>
      <c r="F17" s="9" t="inlineStr">
        <is>
          <t>Abs_Error</t>
        </is>
      </c>
      <c r="G17" s="9" t="inlineStr">
        <is>
          <t>Pct_Error</t>
        </is>
      </c>
      <c r="H17" s="9" t="inlineStr">
        <is>
          <t>Sq_Error</t>
        </is>
      </c>
    </row>
    <row r="18">
      <c r="A18">
        <f>'📥 Data Input'!A5</f>
        <v/>
      </c>
      <c r="B18">
        <f>'📥 Data Input'!B5</f>
        <v/>
      </c>
      <c r="C18">
        <f>'📥 Data Input'!C5</f>
        <v/>
      </c>
      <c r="D18">
        <f>'📈 FORECAST.ETS'!G11</f>
        <v/>
      </c>
      <c r="E18">
        <f>D18-C18</f>
        <v/>
      </c>
      <c r="F18">
        <f>ABS(E18)</f>
        <v/>
      </c>
      <c r="G18">
        <f>IF(C18&lt;&gt;0, ABS(E18/C18)*100, 0)</f>
        <v/>
      </c>
      <c r="H18">
        <f>E18^2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8" customWidth="1" min="4" max="4"/>
    <col width="35" customWidth="1" min="5" max="5"/>
  </cols>
  <sheetData>
    <row r="1">
      <c r="A1" s="4" t="inlineStr">
        <is>
          <t>Special Events Calendar</t>
        </is>
      </c>
    </row>
    <row r="2">
      <c r="A2" s="5" t="inlineStr">
        <is>
          <t>List special events that impact call volumes. Use multipliers in forecast sheets.</t>
        </is>
      </c>
    </row>
    <row r="4">
      <c r="A4" s="9" t="inlineStr">
        <is>
          <t>Date</t>
        </is>
      </c>
      <c r="B4" s="9" t="inlineStr">
        <is>
          <t>Event_Name</t>
        </is>
      </c>
      <c r="C4" s="9" t="inlineStr">
        <is>
          <t>Event_Type</t>
        </is>
      </c>
      <c r="D4" s="9" t="inlineStr">
        <is>
          <t>Expected_Impact</t>
        </is>
      </c>
      <c r="E4" s="9" t="inlineStr">
        <is>
          <t>Notes</t>
        </is>
      </c>
    </row>
    <row r="5">
      <c r="A5" t="inlineStr">
        <is>
          <t>2/14/25</t>
        </is>
      </c>
      <c r="B5" t="inlineStr">
        <is>
          <t>Valentine's Day Promo</t>
        </is>
      </c>
      <c r="C5" t="inlineStr">
        <is>
          <t>Marketing Campaign</t>
        </is>
      </c>
      <c r="D5" t="inlineStr">
        <is>
          <t>1.25 (+25%)</t>
        </is>
      </c>
      <c r="E5" t="inlineStr">
        <is>
          <t>Email blast + social media</t>
        </is>
      </c>
    </row>
    <row r="6">
      <c r="A6" t="inlineStr">
        <is>
          <t>3/15/25</t>
        </is>
      </c>
      <c r="B6" t="inlineStr">
        <is>
          <t>Spring Product Launch</t>
        </is>
      </c>
      <c r="C6" t="inlineStr">
        <is>
          <t>Product Launch</t>
        </is>
      </c>
      <c r="D6" t="inlineStr">
        <is>
          <t>1.40 (+40%)</t>
        </is>
      </c>
      <c r="E6" t="inlineStr">
        <is>
          <t>New product line announcement</t>
        </is>
      </c>
    </row>
    <row r="7">
      <c r="A7" t="inlineStr">
        <is>
          <t>4/1/25</t>
        </is>
      </c>
      <c r="B7" t="inlineStr">
        <is>
          <t>Monthly Billing</t>
        </is>
      </c>
      <c r="C7" t="inlineStr">
        <is>
          <t>Billing Cycle</t>
        </is>
      </c>
      <c r="D7" t="inlineStr">
        <is>
          <t>1.15 (+15%)</t>
        </is>
      </c>
      <c r="E7" t="inlineStr">
        <is>
          <t>Standard monthly spike</t>
        </is>
      </c>
    </row>
    <row r="8">
      <c r="A8" t="inlineStr">
        <is>
          <t>7/4/25</t>
        </is>
      </c>
      <c r="B8" t="inlineStr">
        <is>
          <t>Independence Day</t>
        </is>
      </c>
      <c r="C8" t="inlineStr">
        <is>
          <t>Holiday (Closed)</t>
        </is>
      </c>
      <c r="D8" t="inlineStr">
        <is>
          <t>0.00 (-100%)</t>
        </is>
      </c>
      <c r="E8" t="inlineStr">
        <is>
          <t>Office closed</t>
        </is>
      </c>
    </row>
    <row r="9">
      <c r="A9" t="inlineStr">
        <is>
          <t>11/24/25</t>
        </is>
      </c>
      <c r="B9" t="inlineStr">
        <is>
          <t>Black Friday</t>
        </is>
      </c>
      <c r="C9" t="inlineStr">
        <is>
          <t>Peak Event</t>
        </is>
      </c>
      <c r="D9" t="inlineStr">
        <is>
          <t>1.60 (+60%)</t>
        </is>
      </c>
      <c r="E9" t="inlineStr">
        <is>
          <t>Major sales event</t>
        </is>
      </c>
    </row>
    <row r="12">
      <c r="A12" s="10" t="inlineStr">
        <is>
          <t>📚 Typical Impact Multipliers</t>
        </is>
      </c>
    </row>
    <row r="13">
      <c r="A13" s="3" t="inlineStr">
        <is>
          <t>Event Type</t>
        </is>
      </c>
      <c r="B13" s="3" t="inlineStr">
        <is>
          <t>Typical Multiplier</t>
        </is>
      </c>
    </row>
    <row r="14">
      <c r="A14" t="inlineStr">
        <is>
          <t>Email Campaign</t>
        </is>
      </c>
      <c r="B14" t="inlineStr">
        <is>
          <t>1.15 - 1.25 (+15-25%)</t>
        </is>
      </c>
    </row>
    <row r="15">
      <c r="A15" t="inlineStr">
        <is>
          <t>Product Launch</t>
        </is>
      </c>
      <c r="B15" t="inlineStr">
        <is>
          <t>1.30 - 1.50 (+30-50%)</t>
        </is>
      </c>
    </row>
    <row r="16">
      <c r="A16" t="inlineStr">
        <is>
          <t>Billing Cycle</t>
        </is>
      </c>
      <c r="B16" t="inlineStr">
        <is>
          <t>1.10 - 1.15 (+10-15%)</t>
        </is>
      </c>
    </row>
    <row r="17">
      <c r="A17" t="inlineStr">
        <is>
          <t>Holiday (before)</t>
        </is>
      </c>
      <c r="B17" t="inlineStr">
        <is>
          <t>1.20 - 1.40 (+20-40%)</t>
        </is>
      </c>
    </row>
    <row r="18">
      <c r="A18" t="inlineStr">
        <is>
          <t>Holiday (closed)</t>
        </is>
      </c>
      <c r="B18" t="inlineStr">
        <is>
          <t>0.00 (-100%)</t>
        </is>
      </c>
    </row>
    <row r="19">
      <c r="A19" t="inlineStr">
        <is>
          <t>Black Friday/Peak</t>
        </is>
      </c>
      <c r="B19" t="inlineStr">
        <is>
          <t>1.50 - 1.80 (+50-80%)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7" customWidth="1" min="4" max="4"/>
    <col width="14" customWidth="1" min="5" max="5"/>
    <col width="15" customWidth="1" min="6" max="6"/>
    <col width="17" customWidth="1" min="7" max="7"/>
    <col width="15" customWidth="1" min="8" max="8"/>
  </cols>
  <sheetData>
    <row r="1">
      <c r="A1" s="4" t="inlineStr">
        <is>
          <t>Staffing Requirements Calculator</t>
        </is>
      </c>
    </row>
    <row r="2">
      <c r="A2" s="5" t="inlineStr">
        <is>
          <t>Convert forecasted call volumes to required agent staffing using Square Root Staffing Rule</t>
        </is>
      </c>
    </row>
    <row r="4">
      <c r="A4" s="10" t="inlineStr">
        <is>
          <t>⚙️ Configuration</t>
        </is>
      </c>
    </row>
    <row r="5">
      <c r="A5" t="inlineStr">
        <is>
          <t>Interval Length (seconds):</t>
        </is>
      </c>
      <c r="B5" t="n">
        <v>900</v>
      </c>
      <c r="C5" s="7" t="inlineStr">
        <is>
          <t>(900 = 15 minutes)</t>
        </is>
      </c>
    </row>
    <row r="6">
      <c r="A6" t="inlineStr">
        <is>
          <t>Expected AHT (seconds):</t>
        </is>
      </c>
      <c r="B6" t="n">
        <v>270</v>
      </c>
    </row>
    <row r="7">
      <c r="A7" t="inlineStr">
        <is>
          <t>K-value (safety factor):</t>
        </is>
      </c>
      <c r="B7" t="n">
        <v>1.6</v>
      </c>
      <c r="C7" s="7" t="inlineStr">
        <is>
          <t>(1.4-2.0 range, higher = better service)</t>
        </is>
      </c>
    </row>
    <row r="8">
      <c r="A8" t="inlineStr">
        <is>
          <t>Service Level Target:</t>
        </is>
      </c>
      <c r="B8" t="inlineStr">
        <is>
          <t>80/90</t>
        </is>
      </c>
    </row>
    <row r="10">
      <c r="A10" s="6" t="inlineStr">
        <is>
          <t>Date</t>
        </is>
      </c>
      <c r="B10" s="6" t="inlineStr">
        <is>
          <t>Time</t>
        </is>
      </c>
      <c r="C10" s="6" t="inlineStr">
        <is>
          <t>Forecasted_Calls</t>
        </is>
      </c>
      <c r="D10" s="6" t="inlineStr">
        <is>
          <t>Traffic (Erlangs)</t>
        </is>
      </c>
      <c r="E10" s="6" t="inlineStr">
        <is>
          <t>Base_Agents</t>
        </is>
      </c>
      <c r="F10" s="6" t="inlineStr">
        <is>
          <t>Safety_Buffer</t>
        </is>
      </c>
      <c r="G10" s="6" t="inlineStr">
        <is>
          <t>Required_Agents</t>
        </is>
      </c>
      <c r="H10" s="6" t="inlineStr">
        <is>
          <t>Notes</t>
        </is>
      </c>
    </row>
    <row r="11">
      <c r="A11">
        <f>'📈 FORECAST.ETS'!A11</f>
        <v/>
      </c>
      <c r="B11">
        <f>'📈 FORECAST.ETS'!B11</f>
        <v/>
      </c>
      <c r="C11">
        <f>'📈 FORECAST.ETS'!G11</f>
        <v/>
      </c>
      <c r="D11">
        <f>(C11*$B$6)/$B$5</f>
        <v/>
      </c>
      <c r="E11">
        <f>D11</f>
        <v/>
      </c>
      <c r="F11">
        <f>$B$7*SQRT(D11)</f>
        <v/>
      </c>
      <c r="G11">
        <f>CEILING(E11+F11, 1)</f>
        <v/>
      </c>
      <c r="H11">
        <f>IF(G11&gt;20,"Peak Period",IF(G11&lt;5,"Low Volume","Normal"))</f>
        <v/>
      </c>
    </row>
    <row r="13">
      <c r="A13" s="5" t="inlineStr">
        <is>
          <t>Copy formulas down for all forecast periods</t>
        </is>
      </c>
    </row>
    <row r="15">
      <c r="A15" s="10" t="inlineStr">
        <is>
          <t>📊 Summary Statistics</t>
        </is>
      </c>
    </row>
    <row r="16">
      <c r="A16" s="9" t="inlineStr">
        <is>
          <t>Metric</t>
        </is>
      </c>
      <c r="B16" s="9" t="inlineStr">
        <is>
          <t>Formula</t>
        </is>
      </c>
      <c r="C16" s="9" t="inlineStr">
        <is>
          <t>Result</t>
        </is>
      </c>
    </row>
    <row r="17">
      <c r="A17" t="inlineStr">
        <is>
          <t>Average Agents Required</t>
        </is>
      </c>
      <c r="B17">
        <f>AVERAGE(G11:G107)</f>
        <v/>
      </c>
      <c r="C17" t="inlineStr"/>
    </row>
    <row r="18">
      <c r="A18" t="inlineStr">
        <is>
          <t>Peak Agents Required</t>
        </is>
      </c>
      <c r="B18">
        <f>MAX(G11:G107)</f>
        <v/>
      </c>
      <c r="C18" t="inlineStr"/>
    </row>
    <row r="19">
      <c r="A19" t="inlineStr">
        <is>
          <t>Minimum Agents Required</t>
        </is>
      </c>
      <c r="B19">
        <f>MIN(G11:G107)</f>
        <v/>
      </c>
      <c r="C19" t="inlineStr"/>
    </row>
    <row r="20">
      <c r="A20" t="inlineStr">
        <is>
          <t>Total Agent Hours (Weekly)</t>
        </is>
      </c>
      <c r="B20">
        <f>SUM(G11:G107)/4</f>
        <v/>
      </c>
      <c r="C20" t="inlineStr"/>
    </row>
  </sheetData>
  <mergeCells count="3">
    <mergeCell ref="A13:H1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2025-11-10T20:46:33Z</dcterms:created>
  <dcterms:modified xmlns:dcterms="http://purl.org/dc/terms/" xmlns:xsi="http://www.w3.org/2001/XMLSchema-instance" xsi:type="dcterms:W3CDTF">2025-11-10T20:46:33Z</dcterms:modified>
</cp:coreProperties>
</file>